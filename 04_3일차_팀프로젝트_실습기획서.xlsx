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SAFY\workspace\00aicamp\Day03\"/>
    </mc:Choice>
  </mc:AlternateContent>
  <xr:revisionPtr revIDLastSave="0" documentId="13_ncr:1_{CDFD7A4A-892A-46CF-B6AE-065FFA9EDE82}" xr6:coauthVersionLast="47" xr6:coauthVersionMax="47" xr10:uidLastSave="{00000000-0000-0000-0000-000000000000}"/>
  <bookViews>
    <workbookView xWindow="5355" yWindow="3915" windowWidth="28800" windowHeight="15345" tabRatio="500" firstSheet="1" activeTab="4" xr2:uid="{00000000-000D-0000-FFFF-FFFF00000000}"/>
  </bookViews>
  <sheets>
    <sheet name="0_사용안내" sheetId="1" r:id="rId1"/>
    <sheet name="1_프롬프트가이드(참고)" sheetId="2" r:id="rId2"/>
    <sheet name="2_요구사항분석(실습)" sheetId="8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4" l="1"/>
  <c r="G6" i="4"/>
  <c r="G7" i="4"/>
  <c r="G8" i="4"/>
  <c r="G9" i="4"/>
  <c r="G10" i="4"/>
  <c r="G11" i="4"/>
  <c r="G12" i="4"/>
  <c r="G13" i="4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</calcChain>
</file>

<file path=xl/sharedStrings.xml><?xml version="1.0" encoding="utf-8"?>
<sst xmlns="http://schemas.openxmlformats.org/spreadsheetml/2006/main" count="643" uniqueCount="363">
  <si>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</si>
  <si>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</si>
  <si>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</si>
  <si>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</si>
  <si>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</si>
  <si>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</si>
  <si>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</si>
  <si>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</si>
  <si>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</si>
  <si>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</si>
  <si>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</si>
  <si>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</si>
  <si>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</si>
  <si>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</si>
  <si>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</si>
  <si>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</si>
  <si>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</si>
  <si>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</si>
  <si>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</si>
  <si>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</si>
  <si>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</si>
  <si>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</si>
  <si>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</si>
  <si>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</si>
  <si>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</si>
  <si>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</si>
  <si>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</si>
  <si>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</si>
  <si>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</si>
  <si>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</si>
  <si>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</si>
  <si>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</si>
  <si>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</si>
  <si>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</si>
  <si>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</si>
  <si>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</si>
  <si>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</si>
  <si>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</si>
  <si>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</si>
  <si>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</si>
  <si>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</si>
  <si>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</si>
  <si>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</si>
  <si>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</si>
  <si>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</si>
  <si>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</si>
  <si>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</si>
  <si>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</si>
  <si>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</si>
  <si>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</si>
  <si>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</si>
  <si>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</si>
  <si>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</si>
  <si>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</si>
  <si>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</si>
  <si>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</si>
  <si>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</si>
  <si>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</si>
  <si>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</si>
  <si>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</si>
  <si>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</si>
  <si>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</si>
  <si>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</si>
  <si>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</si>
  <si>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</si>
  <si>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</si>
  <si>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</si>
  <si>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</si>
  <si>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</si>
  <si>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</si>
  <si>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</si>
  <si>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</si>
  <si>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</si>
  <si>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</si>
  <si>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</si>
  <si>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</si>
  <si>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</si>
  <si>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</si>
  <si>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</si>
  <si>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</si>
  <si>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</si>
  <si>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</si>
  <si>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</si>
  <si>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</si>
  <si>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</si>
  <si>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</si>
  <si>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</si>
  <si>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</si>
  <si>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</si>
  <si>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</si>
  <si>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</si>
  <si>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</si>
  <si>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</si>
  <si>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</si>
  <si>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</si>
  <si>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</si>
  <si>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</si>
  <si>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</si>
  <si>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</si>
  <si>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</si>
  <si>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</si>
  <si>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</si>
  <si>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</si>
  <si>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</si>
  <si>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</si>
  <si>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</si>
  <si>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</si>
  <si>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</si>
  <si>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</si>
  <si>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</si>
  <si>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</si>
  <si>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</si>
  <si>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</si>
  <si>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</si>
  <si>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</si>
  <si>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</si>
  <si>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</si>
  <si>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</si>
  <si>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</si>
  <si>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</si>
  <si>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</si>
  <si>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</si>
  <si>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</si>
  <si>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</si>
  <si>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</si>
  <si>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</si>
  <si>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</si>
  <si>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</si>
  <si>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</si>
  <si>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</si>
  <si>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</si>
  <si>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</si>
  <si>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</si>
  <si>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</si>
  <si>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</si>
  <si>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</si>
  <si>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</si>
  <si>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</si>
  <si>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</si>
  <si>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</si>
  <si>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</si>
  <si>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</si>
  <si>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</si>
  <si>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</si>
  <si>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</si>
  <si>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</si>
  <si>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</si>
  <si>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</si>
  <si>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</si>
  <si>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필수</t>
  </si>
  <si>
    <t>개발 대상</t>
  </si>
  <si>
    <t>전국 5개 권역 중 1개 권역을 선택하여 LocalHub 서비스 구축</t>
  </si>
  <si>
    <t>II-2</t>
  </si>
  <si>
    <t>권역 변경을 고려하여 데이터 구조를 공통화하는 것이 좋음</t>
  </si>
  <si>
    <t>기술 스택</t>
  </si>
  <si>
    <t>Vue.js + FastAPI + SQLite 사용</t>
  </si>
  <si>
    <t>기술 스택 변경 불가</t>
  </si>
  <si>
    <t>JSON 데이터 활용</t>
  </si>
  <si>
    <t>제공된 JSON 파일 기반 데이터 연동 구현</t>
  </si>
  <si>
    <t>III-제공데이터 가</t>
  </si>
  <si>
    <t>API 호출 대신 JSON Loader 구현 필요</t>
  </si>
  <si>
    <t>데이터 출처 문서화</t>
  </si>
  <si>
    <t>활용 데이터 목록(출처·라이선스·수집일) 산출물 포함</t>
  </si>
  <si>
    <t>III-제공데이터 다</t>
  </si>
  <si>
    <t>기능명세서에 별도 장 작성 필요</t>
  </si>
  <si>
    <t>익명 커뮤니티</t>
  </si>
  <si>
    <t>회원가입/로그인 없는 익명 게시판</t>
  </si>
  <si>
    <t>III-커뮤니티 가</t>
  </si>
  <si>
    <t>인증 시스템 구현 불필요</t>
  </si>
  <si>
    <t>게시글 비밀번호</t>
  </si>
  <si>
    <t>게시글 작성 시 수정용 비밀번호 등록</t>
  </si>
  <si>
    <t>III-커뮤니티 나</t>
  </si>
  <si>
    <t>작성자 인증 수단 역할</t>
  </si>
  <si>
    <t>게시판 CRUD</t>
  </si>
  <si>
    <t>목록, 상세, 작성, 수정, 삭제 구현</t>
  </si>
  <si>
    <t>III-커뮤니티 다</t>
  </si>
  <si>
    <t>REST API + Vue 화면 모두 구현</t>
  </si>
  <si>
    <t>게시글 저장</t>
  </si>
  <si>
    <t>커뮤니티 데이터 DB 저장</t>
  </si>
  <si>
    <t>III-커뮤니티 라</t>
  </si>
  <si>
    <t>SQLite 사용</t>
  </si>
  <si>
    <t>챗봇 API</t>
  </si>
  <si>
    <t>POST /api/chat 구현</t>
  </si>
  <si>
    <t>III-챗봇 가</t>
  </si>
  <si>
    <t>OpenAI API 사용 가능</t>
  </si>
  <si>
    <t>챗봇 기능</t>
  </si>
  <si>
    <t>지역정보 자연어 질의응답</t>
  </si>
  <si>
    <t>III-챗봇 가~나</t>
  </si>
  <si>
    <t>JSON 기반 RAG 또는 검색 기능 필요</t>
  </si>
  <si>
    <t>채팅 UI</t>
  </si>
  <si>
    <t>히스토리 유지, 모바일 대응, 플로팅 UI</t>
  </si>
  <si>
    <t>III-챗봇 다</t>
  </si>
  <si>
    <t>UX 품질 평가 요소</t>
  </si>
  <si>
    <t>프론트엔드</t>
  </si>
  <si>
    <t>Vue.js3 SPA 구성</t>
  </si>
  <si>
    <t>III-프론트엔드</t>
  </si>
  <si>
    <t>Router 및 상태관리 고려</t>
  </si>
  <si>
    <t>백엔드</t>
  </si>
  <si>
    <t>FastAPI REST + SQLAlchemy ORM</t>
  </si>
  <si>
    <t>III-백엔드</t>
  </si>
  <si>
    <t>ORM 모델 설계 필요</t>
  </si>
  <si>
    <t>SQLite 스키마</t>
  </si>
  <si>
    <t>posts, comments 등 테이블 설계</t>
  </si>
  <si>
    <t>최소 게시글 테이블 필수</t>
  </si>
  <si>
    <t>Netlify(Frontend), Render(Backend)</t>
  </si>
  <si>
    <t>III-배포</t>
  </si>
  <si>
    <t>CI/CD 연계 권장</t>
  </si>
  <si>
    <t>URL 제출</t>
  </si>
  <si>
    <t>배포 URL 산출물 포함</t>
  </si>
  <si>
    <t>접근 가능 여부 확인 필요</t>
  </si>
  <si>
    <t>산출물</t>
  </si>
  <si>
    <t>Git URL, DB, 기능명세서, WBS, PPT 제출</t>
  </si>
  <si>
    <t>참고1</t>
  </si>
  <si>
    <t>제출 누락 시 미완료 처리</t>
  </si>
  <si>
    <t>납기</t>
  </si>
  <si>
    <t>2026.07.16 15:00 제출</t>
  </si>
  <si>
    <t>II-3, 참고1</t>
  </si>
  <si>
    <t>일정 역산 필요</t>
  </si>
  <si>
    <t>선택</t>
  </si>
  <si>
    <t>지도 시각화</t>
  </si>
  <si>
    <t>Leaflet/Kakao Maps 기반 지도</t>
  </si>
  <si>
    <t>참고2</t>
  </si>
  <si>
    <t>구현 난이도 대비 효과 큼</t>
  </si>
  <si>
    <t>데이터 시각화</t>
  </si>
  <si>
    <t>Chart.js, D3.js</t>
  </si>
  <si>
    <t>게시글 통계 활용 가능</t>
  </si>
  <si>
    <t>축제 캘린더</t>
  </si>
  <si>
    <t>FullCalendar 활용</t>
  </si>
  <si>
    <t>제공 JSON 활용 가능</t>
  </si>
  <si>
    <t>경로 안내</t>
  </si>
  <si>
    <t>관광지 이동 경로 표시</t>
  </si>
  <si>
    <t>지도 API 활용</t>
  </si>
  <si>
    <t>날씨 API</t>
  </si>
  <si>
    <t>현재 날씨 연동</t>
  </si>
  <si>
    <t>외부 API 추가</t>
  </si>
  <si>
    <t>실시간 알림</t>
  </si>
  <si>
    <t>WebSocket 기반 알림</t>
  </si>
  <si>
    <t>FastAPI WebSocket 가능</t>
  </si>
  <si>
    <t>다국어</t>
  </si>
  <si>
    <t>i18n 적용</t>
  </si>
  <si>
    <t>Vue-i18n 활용</t>
  </si>
  <si>
    <t>SNS 공유</t>
  </si>
  <si>
    <t>Kakao, 링크 공유</t>
  </si>
  <si>
    <t>메타태그 포함</t>
  </si>
  <si>
    <t>게시판 확장</t>
  </si>
  <si>
    <t>검색, 좋아요, 북마크, 이미지, 태그 등</t>
  </si>
  <si>
    <t>구현 난이도 낮고 가점 가능</t>
  </si>
  <si>
    <t>제약</t>
  </si>
  <si>
    <t>추가 데이터 라이선스</t>
  </si>
  <si>
    <r>
      <t>반드시</t>
    </r>
    <r>
      <rPr>
        <sz val="11"/>
        <color theme="1"/>
        <rFont val="Calibri"/>
        <family val="2"/>
        <charset val="1"/>
      </rPr>
      <t xml:space="preserve"> 라이선스와 공공누리 유형 확인 후 사용</t>
    </r>
  </si>
  <si>
    <t>II-2, III-제공데이터 나</t>
  </si>
  <si>
    <t>라이선스 검증 필수</t>
  </si>
  <si>
    <t>외부 서비스 비용</t>
  </si>
  <si>
    <r>
      <t xml:space="preserve">제공 API Key 범위 내 운영, </t>
    </r>
    <r>
      <rPr>
        <b/>
        <sz val="11"/>
        <color theme="1"/>
        <rFont val="Calibri"/>
        <family val="2"/>
      </rPr>
      <t>예산 초과 불가</t>
    </r>
  </si>
  <si>
    <t>OpenAI Token 관리 필요</t>
  </si>
  <si>
    <t>지정 기한까지 모든 산출물 제출</t>
  </si>
  <si>
    <t>II-3</t>
  </si>
  <si>
    <t>일정 관리 중요</t>
  </si>
  <si>
    <t>기능 변경</t>
  </si>
  <si>
    <t>개발 착수 후 기능 변경 없음</t>
  </si>
  <si>
    <t>요구사항 Freeze</t>
  </si>
  <si>
    <t>권한 방식</t>
  </si>
  <si>
    <t>비밀번호 일치 여부로만 수정/삭제 권한 확인</t>
  </si>
  <si>
    <t>인증 기능 추가하면 오히려 요구사항 위반 가능</t>
  </si>
  <si>
    <t>비밀번호 저장</t>
  </si>
  <si>
    <t>암호화 없이 평문 저장</t>
  </si>
  <si>
    <t>일반적인 보안과 다르지만 교육 목적 요구사항이므로 준수 필요</t>
  </si>
  <si>
    <t>환경변수 관리</t>
  </si>
  <si>
    <r>
      <t xml:space="preserve">API Key 등 </t>
    </r>
    <r>
      <rPr>
        <b/>
        <sz val="11"/>
        <color theme="1"/>
        <rFont val="Calibri"/>
        <family val="2"/>
      </rPr>
      <t>반드시 .env 관리</t>
    </r>
  </si>
  <si>
    <t>III-백엔드 나</t>
  </si>
  <si>
    <t>Secret Manager 대신 .env 사용</t>
  </si>
  <si>
    <t>Git 저장소</t>
  </si>
  <si>
    <t>소스코드 및 GitHub 저장소에 직접 기재 절대 금지</t>
  </si>
  <si>
    <t>Commit 전 Secret 검사 필요</t>
  </si>
  <si>
    <t>.env</t>
  </si>
  <si>
    <t>.gitignore 등록 및 버전관리 제외 반드시 수행</t>
  </si>
  <si>
    <t>제출 전 재확인 필요</t>
  </si>
  <si>
    <t>AI 개발도구</t>
  </si>
  <si>
    <t>VSCode Copilot + OpenAI API Key만 허용</t>
  </si>
  <si>
    <t>III-AI정책 가</t>
  </si>
  <si>
    <t>다른 AI 코딩도구 사용 불가</t>
  </si>
  <si>
    <r>
      <t xml:space="preserve">Claude Code, Codex, Cursor, Antigravity 등 </t>
    </r>
    <r>
      <rPr>
        <b/>
        <sz val="11"/>
        <color theme="1"/>
        <rFont val="Calibri"/>
        <family val="2"/>
      </rPr>
      <t>사용 불가</t>
    </r>
  </si>
  <si>
    <t>III-AI정책 나</t>
  </si>
  <si>
    <t>위반 시 계약 조건 적용</t>
  </si>
  <si>
    <t>제출물</t>
  </si>
  <si>
    <t>.env 파일 포함 금지</t>
  </si>
  <si>
    <t>저장소 검증 필요</t>
  </si>
  <si>
    <t>선택 기능</t>
  </si>
  <si>
    <t>구현 시 데이터 라이선스 확인 및 기능명세서 기재 필요</t>
  </si>
  <si>
    <t>추가 API 사용 시 반드시 명시</t>
  </si>
  <si>
    <t>개발 착수 후 기능 추가 및 범위 변경 원칙적 불수용</t>
  </si>
  <si>
    <t>V-5</t>
  </si>
  <si>
    <t>초기 요구사항 확정 필수</t>
  </si>
  <si>
    <r>
      <rPr>
        <sz val="10"/>
        <color rgb="FF222222"/>
        <rFont val="맑은 고딕"/>
        <family val="3"/>
        <charset val="129"/>
      </rPr>
      <t>팀의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제약조건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기간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인원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기술스택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넣어야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현실적인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나옴</t>
    </r>
    <r>
      <rPr>
        <sz val="10"/>
        <color rgb="FF222222"/>
        <rFont val="Arial"/>
        <family val="2"/>
      </rPr>
      <t>.</t>
    </r>
    <phoneticPr fontId="17" type="noConversion"/>
  </si>
  <si>
    <t>기능</t>
  </si>
  <si>
    <t>다국어(i18n)</t>
  </si>
  <si>
    <t>관광지를 지도에 마커로 표시(Leaflet/Kakao Maps)</t>
  </si>
  <si>
    <t>게시글 수, 방문 통계 등을 Chart.js로 표현</t>
  </si>
  <si>
    <t>행사 데이터를 FullCalendar에 표시</t>
  </si>
  <si>
    <t>관광지 간 이동 경로 표시</t>
  </si>
  <si>
    <t>관광지 현재 날씨 표시</t>
  </si>
  <si>
    <t>한/영 다국어 지원</t>
  </si>
  <si>
    <t>카카오/URL 공유</t>
  </si>
  <si>
    <t>검색, 좋아요, 북마크, 태그, 이미지 등</t>
  </si>
  <si>
    <t>Must</t>
  </si>
  <si>
    <t>선정</t>
  </si>
  <si>
    <t>보류</t>
  </si>
  <si>
    <t>제외</t>
  </si>
  <si>
    <r>
      <rPr>
        <sz val="11"/>
        <color theme="1"/>
        <rFont val="맑은 고딕"/>
        <family val="3"/>
        <charset val="129"/>
      </rPr>
      <t>지도</t>
    </r>
    <r>
      <rPr>
        <sz val="11"/>
        <color theme="1"/>
        <rFont val="돋움"/>
        <family val="2"/>
        <charset val="129"/>
      </rPr>
      <t xml:space="preserve"> 시각화(1순위)</t>
    </r>
    <r>
      <rPr>
        <sz val="11"/>
        <color theme="1"/>
        <rFont val="Calibri"/>
        <family val="3"/>
        <charset val="129"/>
      </rPr>
      <t xml:space="preserve">
</t>
    </r>
    <r>
      <rPr>
        <sz val="11"/>
        <color theme="1"/>
        <rFont val="돋움"/>
        <family val="3"/>
        <charset val="129"/>
      </rPr>
      <t xml:space="preserve">날씨 </t>
    </r>
    <r>
      <rPr>
        <sz val="11"/>
        <color theme="1"/>
        <rFont val="Calibri"/>
        <family val="3"/>
      </rPr>
      <t xml:space="preserve">API / </t>
    </r>
    <r>
      <rPr>
        <sz val="11"/>
        <color theme="1"/>
        <rFont val="돋움"/>
        <family val="3"/>
        <charset val="129"/>
      </rPr>
      <t xml:space="preserve">게시판 확장 (예비 후보)
</t>
    </r>
    <r>
      <rPr>
        <sz val="11"/>
        <color theme="1"/>
        <rFont val="Calibri"/>
        <family val="3"/>
        <charset val="129"/>
      </rPr>
      <t xml:space="preserve">- </t>
    </r>
    <r>
      <rPr>
        <sz val="11"/>
        <color theme="1"/>
        <rFont val="맑은 고딕"/>
        <family val="3"/>
        <charset val="129"/>
      </rPr>
      <t>개발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기간</t>
    </r>
    <r>
      <rPr>
        <sz val="11"/>
        <color theme="1"/>
        <rFont val="돋움"/>
        <family val="3"/>
        <charset val="129"/>
      </rPr>
      <t xml:space="preserve"> 3일 내 완성 가능성 + 기능 구현시 파급력 고려</t>
    </r>
    <phoneticPr fontId="17" type="noConversion"/>
  </si>
  <si>
    <t>선정 이유</t>
  </si>
  <si>
    <t>근거</t>
  </si>
  <si>
    <t>Must Have</t>
  </si>
  <si>
    <t>RFP 핵심 요구사항으로 반드시 구현</t>
  </si>
  <si>
    <t>RFP II-2</t>
  </si>
  <si>
    <t>익명 게시판</t>
  </si>
  <si>
    <t>로그인·회원가입 없이 운영</t>
  </si>
  <si>
    <t>RFP III-커뮤니티</t>
  </si>
  <si>
    <t>게시글 수정용 비밀번호</t>
  </si>
  <si>
    <t>수정·삭제 권한 확인 방식</t>
  </si>
  <si>
    <t>게시판 CRUD (목록/상세/작성/수정/삭제)</t>
  </si>
  <si>
    <t>핵심 기능</t>
  </si>
  <si>
    <t>게시글 SQLite 저장</t>
  </si>
  <si>
    <t>DB 저장 필수</t>
  </si>
  <si>
    <t>POST /api/chat</t>
  </si>
  <si>
    <t>챗봇 API 필수</t>
  </si>
  <si>
    <t>RFP III-챗봇</t>
  </si>
  <si>
    <t>JSON 기반 지역 정보 검색 및 응답</t>
  </si>
  <si>
    <t>플로팅 챗봇 UI(히스토리 유지, 모바일 대응)</t>
  </si>
  <si>
    <t>사용자 경험 평가 요소</t>
  </si>
  <si>
    <t>필수 프론트엔드 구조</t>
  </si>
  <si>
    <t>RFP III-프론트엔드</t>
  </si>
  <si>
    <t>FastAPI + SQLAlchemy ORM</t>
  </si>
  <si>
    <t>필수 백엔드</t>
  </si>
  <si>
    <t>RFP III-백엔드</t>
  </si>
  <si>
    <t>SQLite 스키마(posts 중심)</t>
  </si>
  <si>
    <t>최소 DB 설계 필수</t>
  </si>
  <si>
    <t>Netlify / Render 배포</t>
  </si>
  <si>
    <t>제출 조건</t>
  </si>
  <si>
    <t>RFP III-배포</t>
  </si>
  <si>
    <t>배포 URL 제출</t>
  </si>
  <si>
    <t>산출물 필수</t>
  </si>
  <si>
    <r>
      <rPr>
        <b/>
        <sz val="11"/>
        <color theme="1"/>
        <rFont val="맑은 고딕"/>
        <family val="3"/>
        <charset val="129"/>
      </rPr>
      <t>지역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정보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자연어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질의응답</t>
    </r>
    <phoneticPr fontId="17" type="noConversion"/>
  </si>
  <si>
    <t>Vue.js SPA</t>
    <phoneticPr fontId="17" type="noConversion"/>
  </si>
  <si>
    <r>
      <t>1</t>
    </r>
    <r>
      <rPr>
        <b/>
        <sz val="11"/>
        <color theme="1"/>
        <rFont val="맑은 고딕"/>
        <family val="3"/>
        <charset val="129"/>
      </rPr>
      <t>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권역</t>
    </r>
    <r>
      <rPr>
        <b/>
        <sz val="11"/>
        <color theme="1"/>
        <rFont val="Calibri"/>
        <family val="2"/>
      </rPr>
      <t xml:space="preserve">(LocalHub) </t>
    </r>
    <r>
      <rPr>
        <b/>
        <sz val="11"/>
        <color theme="1"/>
        <rFont val="맑은 고딕"/>
        <family val="3"/>
        <charset val="129"/>
      </rPr>
      <t>서비스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구축</t>
    </r>
    <phoneticPr fontId="17" type="noConversion"/>
  </si>
  <si>
    <r>
      <t>1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</rPr>
      <t xml:space="preserve">(LocalHub) </t>
    </r>
    <r>
      <rPr>
        <sz val="10"/>
        <color rgb="FF222222"/>
        <rFont val="돋움"/>
        <family val="2"/>
        <charset val="129"/>
      </rPr>
      <t>서비스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구축</t>
    </r>
    <phoneticPr fontId="17" type="noConversion"/>
  </si>
  <si>
    <r>
      <rPr>
        <sz val="10"/>
        <color rgb="FF222222"/>
        <rFont val="맑은 고딕"/>
        <family val="3"/>
        <charset val="129"/>
      </rPr>
      <t>챗봇</t>
    </r>
    <r>
      <rPr>
        <sz val="10"/>
        <color rgb="FF222222"/>
        <rFont val="돋움"/>
        <family val="2"/>
        <charset val="129"/>
      </rPr>
      <t xml:space="preserve"> </t>
    </r>
    <r>
      <rPr>
        <sz val="10"/>
        <color rgb="FF222222"/>
        <rFont val="Arial"/>
        <family val="2"/>
      </rPr>
      <t>API(</t>
    </r>
    <r>
      <rPr>
        <sz val="10"/>
        <color rgb="FF222222"/>
        <rFont val="돋움"/>
        <family val="2"/>
        <charset val="129"/>
      </rPr>
      <t>지역 정보 기반 자연어 질의응답 가능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돋움"/>
        <family val="2"/>
        <charset val="129"/>
      </rPr>
      <t xml:space="preserve">및 챗봇 </t>
    </r>
    <r>
      <rPr>
        <sz val="10"/>
        <color rgb="FF222222"/>
        <rFont val="Arial"/>
        <family val="2"/>
      </rPr>
      <t>UI (</t>
    </r>
    <r>
      <rPr>
        <sz val="10"/>
        <color rgb="FF222222"/>
        <rFont val="돋움"/>
        <family val="2"/>
        <charset val="129"/>
      </rPr>
      <t>히스토리 유지, 모바일 대응, 플로팅 기반)</t>
    </r>
    <phoneticPr fontId="17" type="noConversion"/>
  </si>
  <si>
    <t>Netlify / Render 배포</t>
    <phoneticPr fontId="17" type="noConversion"/>
  </si>
  <si>
    <r>
      <t>FE: Vue.js (SPA), BE: FastAPI + SQLAlchemy ORM, DB: SQLite 스키마</t>
    </r>
    <r>
      <rPr>
        <sz val="10"/>
        <color rgb="FF222222"/>
        <rFont val="돋움"/>
        <family val="2"/>
        <charset val="129"/>
      </rPr>
      <t xml:space="preserve"> (posts 중심)</t>
    </r>
    <phoneticPr fontId="17" type="noConversion"/>
  </si>
  <si>
    <t>Should Have</t>
  </si>
  <si>
    <r>
      <rPr>
        <b/>
        <sz val="11"/>
        <color theme="1"/>
        <rFont val="맑은 고딕"/>
        <family val="3"/>
        <charset val="129"/>
      </rPr>
      <t>지도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시각화</t>
    </r>
    <r>
      <rPr>
        <b/>
        <sz val="11"/>
        <color theme="1"/>
        <rFont val="Calibri"/>
        <family val="2"/>
      </rPr>
      <t>(Leaflet)</t>
    </r>
    <phoneticPr fontId="17" type="noConversion"/>
  </si>
  <si>
    <r>
      <rPr>
        <sz val="11"/>
        <color theme="1"/>
        <rFont val="맑은 고딕"/>
        <family val="3"/>
        <charset val="129"/>
      </rPr>
      <t>구현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난이도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대비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체감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효과가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가장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높고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관광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서비스의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핵심</t>
    </r>
    <r>
      <rPr>
        <sz val="11"/>
        <color theme="1"/>
        <rFont val="Calibri"/>
        <family val="2"/>
      </rPr>
      <t xml:space="preserve"> UX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강화함</t>
    </r>
    <phoneticPr fontId="17" type="noConversion"/>
  </si>
  <si>
    <r>
      <rPr>
        <sz val="10"/>
        <color rgb="FF222222"/>
        <rFont val="돋움"/>
        <family val="2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r>
      <rPr>
        <sz val="10"/>
        <color rgb="FF222222"/>
        <rFont val="Arial"/>
        <family val="2"/>
      </rPr>
      <t xml:space="preserve">(Leaflet) -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난이도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대비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사용자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체감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효과가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가장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높고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관광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서비스의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핵심</t>
    </r>
    <r>
      <rPr>
        <sz val="10"/>
        <color rgb="FF222222"/>
        <rFont val="Arial"/>
        <family val="2"/>
        <charset val="129"/>
      </rPr>
      <t xml:space="preserve"> UX</t>
    </r>
    <r>
      <rPr>
        <sz val="10"/>
        <color rgb="FF222222"/>
        <rFont val="돋움"/>
        <family val="2"/>
        <charset val="129"/>
      </rPr>
      <t>를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강화함</t>
    </r>
    <phoneticPr fontId="17" type="noConversion"/>
  </si>
  <si>
    <r>
      <rPr>
        <b/>
        <sz val="11"/>
        <color theme="1"/>
        <rFont val="맑은 고딕"/>
        <family val="3"/>
        <charset val="129"/>
      </rPr>
      <t>게시판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확장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맑은 고딕"/>
        <family val="3"/>
        <charset val="129"/>
      </rPr>
      <t>검색</t>
    </r>
    <r>
      <rPr>
        <b/>
        <sz val="11"/>
        <color theme="1"/>
        <rFont val="Calibri"/>
        <family val="2"/>
      </rPr>
      <t>)</t>
    </r>
    <phoneticPr fontId="17" type="noConversion"/>
  </si>
  <si>
    <r>
      <rPr>
        <sz val="11"/>
        <color theme="1"/>
        <rFont val="맑은 고딕"/>
        <family val="3"/>
        <charset val="129"/>
      </rPr>
      <t>검색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기능은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난이도가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낮고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게시글이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늘어날수록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활용도가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높음</t>
    </r>
    <phoneticPr fontId="17" type="noConversion"/>
  </si>
  <si>
    <r>
      <rPr>
        <sz val="10"/>
        <color rgb="FF222222"/>
        <rFont val="돋움"/>
        <family val="2"/>
        <charset val="129"/>
      </rPr>
      <t>게시판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확장</t>
    </r>
    <r>
      <rPr>
        <sz val="10"/>
        <color rgb="FF222222"/>
        <rFont val="Arial"/>
        <family val="2"/>
      </rPr>
      <t>(</t>
    </r>
    <r>
      <rPr>
        <sz val="10"/>
        <color rgb="FF222222"/>
        <rFont val="돋움"/>
        <family val="2"/>
        <charset val="129"/>
      </rPr>
      <t>검색</t>
    </r>
    <r>
      <rPr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  <charset val="129"/>
      </rPr>
      <t xml:space="preserve"> - </t>
    </r>
    <r>
      <rPr>
        <sz val="10"/>
        <color rgb="FF222222"/>
        <rFont val="돋움"/>
        <family val="2"/>
        <charset val="129"/>
      </rPr>
      <t>검색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기능은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난이도가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낮고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게시글이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늘어날수록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활용도가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높음</t>
    </r>
    <phoneticPr fontId="17" type="noConversion"/>
  </si>
  <si>
    <r>
      <rPr>
        <b/>
        <sz val="11"/>
        <color theme="1"/>
        <rFont val="맑은 고딕"/>
        <family val="3"/>
        <charset val="129"/>
      </rPr>
      <t>게시글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조회수</t>
    </r>
    <phoneticPr fontId="17" type="noConversion"/>
  </si>
  <si>
    <r>
      <rPr>
        <sz val="11"/>
        <color theme="1"/>
        <rFont val="맑은 고딕"/>
        <family val="3"/>
        <charset val="129"/>
      </rPr>
      <t>구현이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간단하면서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게시판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완성도를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높일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있음</t>
    </r>
    <phoneticPr fontId="17" type="noConversion"/>
  </si>
  <si>
    <t>회원가입/로그인 기능 등 사용자 인증 체계</t>
    <phoneticPr fontId="17" type="noConversion"/>
  </si>
  <si>
    <r>
      <t>선택하지</t>
    </r>
    <r>
      <rPr>
        <sz val="10"/>
        <color rgb="FF222222"/>
        <rFont val="돋움"/>
        <family val="2"/>
        <charset val="129"/>
      </rPr>
      <t xml:space="preserve"> 않은 나머지 선택 기능</t>
    </r>
    <phoneticPr fontId="17" type="noConversion"/>
  </si>
  <si>
    <t>서울</t>
    <phoneticPr fontId="17" type="noConversion"/>
  </si>
  <si>
    <t>서울 시민. 서울의 명소, 관광 명소들을 빠르게 흝고 공유할 수 있는 공간이 없음</t>
    <phoneticPr fontId="17" type="noConversion"/>
  </si>
  <si>
    <t>선정 권역 방문 관광객 및 지역 주민 (회원가입 부담 없는 익명 이용자)</t>
    <phoneticPr fontId="17" type="noConversion"/>
  </si>
  <si>
    <t>납기 내 필수기능 100% 구현 + 선택기능 2개 배포 + 배포 URL 정상 동작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</si>
</sst>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53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b/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11"/>
      <color theme="1"/>
      <name val="Calibri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Calibri"/>
      <family val="3"/>
      <charset val="129"/>
    </font>
    <font>
      <sz val="10"/>
      <color rgb="FF222222"/>
      <name val="돋움"/>
      <family val="2"/>
      <charset val="129"/>
    </font>
    <font>
      <sz val="10"/>
      <color rgb="FF222222"/>
      <name val="Arial"/>
      <family val="3"/>
      <charset val="129"/>
    </font>
    <font>
      <sz val="10"/>
      <color rgb="FF222222"/>
      <name val="Arial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1" fillId="0" borderId="0" xfId="0" applyFont="1" applyAlignment="1">
      <alignment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33" fillId="16" borderId="7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4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49" fillId="0" borderId="0" xfId="0" applyFont="1" applyAlignment="1">
      <alignment vertical="center" wrapText="1"/>
    </xf>
    <xf numFmtId="0" fontId="51" fillId="0" borderId="2" xfId="0" applyFont="1" applyBorder="1" applyAlignment="1">
      <alignment horizontal="left" vertical="center" wrapText="1"/>
    </xf>
    <xf numFmtId="0" fontId="52" fillId="0" borderId="2" xfId="0" applyFont="1" applyBorder="1" applyAlignment="1">
      <alignment horizontal="left" vertical="center" wrapText="1"/>
    </xf>
    <xf numFmtId="0" fontId="45" fillId="0" borderId="0" xfId="0" applyFont="1" applyAlignment="1">
      <alignment vertical="center" wrapText="1"/>
    </xf>
    <xf numFmtId="0" fontId="50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33" t="s">
        <v>109</v>
      </c>
      <c r="C2" s="33"/>
    </row>
    <row r="4" spans="2:3" ht="19.5" customHeight="1">
      <c r="B4" s="12" t="s">
        <v>110</v>
      </c>
      <c r="C4" s="13" t="s">
        <v>111</v>
      </c>
    </row>
    <row r="5" spans="2:3" ht="36.950000000000003" customHeight="1">
      <c r="B5" s="1" t="s">
        <v>0</v>
      </c>
      <c r="C5" s="13" t="s">
        <v>112</v>
      </c>
    </row>
    <row r="6" spans="2:3" ht="19.5" customHeight="1">
      <c r="B6" s="1" t="s">
        <v>1</v>
      </c>
      <c r="C6" s="3" t="s">
        <v>113</v>
      </c>
    </row>
    <row r="7" spans="2:3" ht="19.5" customHeight="1">
      <c r="B7" s="1" t="s">
        <v>2</v>
      </c>
      <c r="C7" s="3" t="s">
        <v>114</v>
      </c>
    </row>
    <row r="9" spans="2:3" ht="15" customHeight="1">
      <c r="B9" s="29" t="s">
        <v>115</v>
      </c>
      <c r="C9" s="30"/>
    </row>
    <row r="10" spans="2:3" ht="27">
      <c r="B10" s="4" t="s">
        <v>3</v>
      </c>
      <c r="C10" s="13" t="s">
        <v>116</v>
      </c>
    </row>
    <row r="11" spans="2:3" ht="40.5">
      <c r="B11" s="4" t="s">
        <v>117</v>
      </c>
      <c r="C11" s="13" t="s">
        <v>118</v>
      </c>
    </row>
    <row r="12" spans="2:3" ht="33.75" customHeight="1">
      <c r="B12" s="4" t="s">
        <v>119</v>
      </c>
      <c r="C12" s="2" t="s">
        <v>120</v>
      </c>
    </row>
    <row r="13" spans="2:3" ht="33.75" customHeight="1">
      <c r="B13" s="4" t="s">
        <v>121</v>
      </c>
      <c r="C13" s="3" t="s">
        <v>122</v>
      </c>
    </row>
    <row r="14" spans="2:3" ht="33.75" customHeight="1">
      <c r="B14" s="4" t="s">
        <v>123</v>
      </c>
      <c r="C14" s="2" t="s">
        <v>124</v>
      </c>
    </row>
    <row r="15" spans="2:3" ht="33.75" customHeight="1">
      <c r="B15" s="4" t="s">
        <v>4</v>
      </c>
      <c r="C15" s="13" t="s">
        <v>125</v>
      </c>
    </row>
    <row r="17" spans="2:3" ht="15" customHeight="1">
      <c r="B17" s="31" t="s">
        <v>5</v>
      </c>
      <c r="C17" s="32"/>
    </row>
    <row r="18" spans="2:3" ht="27.75" customHeight="1">
      <c r="B18" s="34" t="s">
        <v>126</v>
      </c>
      <c r="C18" s="35"/>
    </row>
    <row r="19" spans="2:3" ht="27.75" customHeight="1">
      <c r="B19" s="27" t="s">
        <v>7</v>
      </c>
      <c r="C19" s="28"/>
    </row>
    <row r="20" spans="2:3" ht="27.75" customHeight="1">
      <c r="B20" s="27" t="s">
        <v>8</v>
      </c>
      <c r="C20" s="28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topLeftCell="A4" zoomScaleNormal="100" workbookViewId="0">
      <selection activeCell="D7" sqref="D7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38" t="s">
        <v>9</v>
      </c>
      <c r="C2" s="39"/>
      <c r="D2" s="39"/>
      <c r="E2" s="39"/>
      <c r="F2" s="39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1" t="s">
        <v>143</v>
      </c>
      <c r="C5" s="22" t="s">
        <v>15</v>
      </c>
      <c r="D5" s="13" t="s">
        <v>140</v>
      </c>
      <c r="E5" s="23" t="s">
        <v>141</v>
      </c>
      <c r="F5" s="22" t="s">
        <v>16</v>
      </c>
    </row>
    <row r="6" spans="2:10" ht="129.75" customHeight="1">
      <c r="B6" s="21" t="s">
        <v>144</v>
      </c>
      <c r="C6" s="22" t="s">
        <v>17</v>
      </c>
      <c r="D6" s="13" t="s">
        <v>148</v>
      </c>
      <c r="E6" s="22" t="s">
        <v>18</v>
      </c>
      <c r="F6" s="23" t="s">
        <v>293</v>
      </c>
    </row>
    <row r="7" spans="2:10" ht="129.75" customHeight="1">
      <c r="B7" s="21" t="s">
        <v>19</v>
      </c>
      <c r="C7" s="5" t="s">
        <v>20</v>
      </c>
      <c r="D7" s="20" t="s">
        <v>146</v>
      </c>
      <c r="E7" s="5" t="s">
        <v>21</v>
      </c>
      <c r="F7" s="5" t="s">
        <v>22</v>
      </c>
      <c r="J7" s="25" t="s">
        <v>147</v>
      </c>
    </row>
    <row r="8" spans="2:10" ht="129.75" customHeight="1">
      <c r="B8" s="24" t="s">
        <v>145</v>
      </c>
      <c r="C8" s="5" t="s">
        <v>23</v>
      </c>
      <c r="D8" s="13" t="s">
        <v>142</v>
      </c>
      <c r="E8" s="22" t="s">
        <v>24</v>
      </c>
      <c r="F8" s="5" t="s">
        <v>25</v>
      </c>
    </row>
    <row r="9" spans="2:10" ht="14.1" customHeight="1"/>
    <row r="10" spans="2:10" ht="15" customHeight="1">
      <c r="B10" s="40" t="s">
        <v>127</v>
      </c>
      <c r="C10" s="37"/>
      <c r="D10" s="37"/>
      <c r="E10" s="37"/>
      <c r="F10" s="30"/>
    </row>
    <row r="11" spans="2:10" ht="24" customHeight="1">
      <c r="B11" s="5" t="s">
        <v>6</v>
      </c>
      <c r="C11" s="36" t="s">
        <v>128</v>
      </c>
      <c r="D11" s="37"/>
      <c r="E11" s="37"/>
      <c r="F11" s="37"/>
    </row>
    <row r="12" spans="2:10" ht="24" customHeight="1">
      <c r="B12" s="5" t="s">
        <v>6</v>
      </c>
      <c r="C12" s="36" t="s">
        <v>129</v>
      </c>
      <c r="D12" s="37"/>
      <c r="E12" s="37"/>
      <c r="F12" s="37"/>
    </row>
    <row r="13" spans="2:10" ht="24" customHeight="1">
      <c r="B13" s="5" t="s">
        <v>6</v>
      </c>
      <c r="C13" s="36" t="s">
        <v>130</v>
      </c>
      <c r="D13" s="37"/>
      <c r="E13" s="37"/>
      <c r="F13" s="37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D0D3-9F6B-478E-9AEB-E6AAB77D61EA}">
  <sheetPr>
    <tabColor rgb="FFFFC000"/>
  </sheetPr>
  <dimension ref="B2:O46"/>
  <sheetViews>
    <sheetView showGridLines="0" topLeftCell="A42" zoomScaleNormal="100" workbookViewId="0">
      <selection activeCell="K6" sqref="K6:O46"/>
    </sheetView>
  </sheetViews>
  <sheetFormatPr defaultColWidth="8.7109375" defaultRowHeight="15"/>
  <cols>
    <col min="1" max="1" width="4" style="26" customWidth="1"/>
    <col min="2" max="2" width="10" style="26" customWidth="1"/>
    <col min="3" max="3" width="30" style="26" customWidth="1"/>
    <col min="4" max="4" width="46" style="26" customWidth="1"/>
    <col min="5" max="5" width="20" style="26" customWidth="1"/>
    <col min="6" max="6" width="24" style="26" customWidth="1"/>
    <col min="7" max="16384" width="8.7109375" style="26"/>
  </cols>
  <sheetData>
    <row r="2" spans="2:15" ht="30" customHeight="1">
      <c r="B2" s="41" t="s">
        <v>26</v>
      </c>
      <c r="C2" s="39"/>
      <c r="D2" s="39"/>
      <c r="E2" s="39"/>
      <c r="F2" s="39"/>
    </row>
    <row r="3" spans="2:15" ht="28.35" customHeight="1">
      <c r="B3" s="42" t="s">
        <v>139</v>
      </c>
      <c r="C3" s="37"/>
      <c r="D3" s="37"/>
      <c r="E3" s="37"/>
      <c r="F3" s="30"/>
    </row>
    <row r="4" spans="2:15" ht="35.65" customHeight="1">
      <c r="B4" s="8" t="s">
        <v>27</v>
      </c>
      <c r="C4" s="8" t="s">
        <v>28</v>
      </c>
      <c r="D4" s="8" t="s">
        <v>29</v>
      </c>
      <c r="E4" s="14" t="s">
        <v>131</v>
      </c>
      <c r="F4" s="8" t="s">
        <v>30</v>
      </c>
    </row>
    <row r="5" spans="2:15" ht="15" customHeight="1">
      <c r="B5" s="9" t="s">
        <v>31</v>
      </c>
      <c r="C5" s="9"/>
      <c r="D5" s="9"/>
      <c r="E5" s="9"/>
      <c r="F5" s="9"/>
    </row>
    <row r="6" spans="2:15" ht="30" customHeight="1">
      <c r="B6" s="3" t="s">
        <v>304</v>
      </c>
      <c r="C6" s="73" t="s">
        <v>150</v>
      </c>
      <c r="D6" s="73" t="s">
        <v>151</v>
      </c>
      <c r="E6" s="73" t="s">
        <v>152</v>
      </c>
      <c r="F6" s="73" t="s">
        <v>153</v>
      </c>
      <c r="K6" s="73" t="s">
        <v>149</v>
      </c>
      <c r="L6" s="73" t="s">
        <v>150</v>
      </c>
      <c r="M6" s="73" t="s">
        <v>151</v>
      </c>
      <c r="N6" s="73" t="s">
        <v>152</v>
      </c>
      <c r="O6" s="73" t="s">
        <v>153</v>
      </c>
    </row>
    <row r="7" spans="2:15" ht="30" customHeight="1">
      <c r="B7" s="3" t="s">
        <v>304</v>
      </c>
      <c r="C7" s="73" t="s">
        <v>154</v>
      </c>
      <c r="D7" s="73" t="s">
        <v>155</v>
      </c>
      <c r="E7" s="73" t="s">
        <v>152</v>
      </c>
      <c r="F7" s="73" t="s">
        <v>156</v>
      </c>
      <c r="K7" s="73" t="s">
        <v>149</v>
      </c>
      <c r="L7" s="73" t="s">
        <v>154</v>
      </c>
      <c r="M7" s="73" t="s">
        <v>155</v>
      </c>
      <c r="N7" s="73" t="s">
        <v>152</v>
      </c>
      <c r="O7" s="73" t="s">
        <v>156</v>
      </c>
    </row>
    <row r="8" spans="2:15" ht="30" customHeight="1">
      <c r="B8" s="3" t="s">
        <v>304</v>
      </c>
      <c r="C8" s="73" t="s">
        <v>157</v>
      </c>
      <c r="D8" s="73" t="s">
        <v>158</v>
      </c>
      <c r="E8" s="73" t="s">
        <v>159</v>
      </c>
      <c r="F8" s="73" t="s">
        <v>160</v>
      </c>
      <c r="K8" s="73" t="s">
        <v>149</v>
      </c>
      <c r="L8" s="73" t="s">
        <v>157</v>
      </c>
      <c r="M8" s="73" t="s">
        <v>158</v>
      </c>
      <c r="N8" s="73" t="s">
        <v>159</v>
      </c>
      <c r="O8" s="73" t="s">
        <v>160</v>
      </c>
    </row>
    <row r="9" spans="2:15" ht="30" customHeight="1">
      <c r="B9" s="3" t="s">
        <v>304</v>
      </c>
      <c r="C9" s="73" t="s">
        <v>161</v>
      </c>
      <c r="D9" s="73" t="s">
        <v>162</v>
      </c>
      <c r="E9" s="73" t="s">
        <v>163</v>
      </c>
      <c r="F9" s="73" t="s">
        <v>164</v>
      </c>
      <c r="K9" s="73" t="s">
        <v>149</v>
      </c>
      <c r="L9" s="73" t="s">
        <v>161</v>
      </c>
      <c r="M9" s="73" t="s">
        <v>162</v>
      </c>
      <c r="N9" s="73" t="s">
        <v>163</v>
      </c>
      <c r="O9" s="73" t="s">
        <v>164</v>
      </c>
    </row>
    <row r="10" spans="2:15" ht="30" customHeight="1">
      <c r="B10" s="3" t="s">
        <v>304</v>
      </c>
      <c r="C10" s="73" t="s">
        <v>165</v>
      </c>
      <c r="D10" s="73" t="s">
        <v>166</v>
      </c>
      <c r="E10" s="73" t="s">
        <v>167</v>
      </c>
      <c r="F10" s="73" t="s">
        <v>168</v>
      </c>
      <c r="K10" s="73" t="s">
        <v>149</v>
      </c>
      <c r="L10" s="73" t="s">
        <v>165</v>
      </c>
      <c r="M10" s="73" t="s">
        <v>166</v>
      </c>
      <c r="N10" s="73" t="s">
        <v>167</v>
      </c>
      <c r="O10" s="73" t="s">
        <v>168</v>
      </c>
    </row>
    <row r="11" spans="2:15" ht="30" customHeight="1">
      <c r="B11" s="3" t="s">
        <v>304</v>
      </c>
      <c r="C11" s="73" t="s">
        <v>169</v>
      </c>
      <c r="D11" s="73" t="s">
        <v>170</v>
      </c>
      <c r="E11" s="73" t="s">
        <v>171</v>
      </c>
      <c r="F11" s="73" t="s">
        <v>172</v>
      </c>
      <c r="K11" s="73" t="s">
        <v>149</v>
      </c>
      <c r="L11" s="73" t="s">
        <v>169</v>
      </c>
      <c r="M11" s="73" t="s">
        <v>170</v>
      </c>
      <c r="N11" s="73" t="s">
        <v>171</v>
      </c>
      <c r="O11" s="73" t="s">
        <v>172</v>
      </c>
    </row>
    <row r="12" spans="2:15" ht="30" customHeight="1">
      <c r="B12" s="3" t="s">
        <v>304</v>
      </c>
      <c r="C12" s="73" t="s">
        <v>173</v>
      </c>
      <c r="D12" s="73" t="s">
        <v>174</v>
      </c>
      <c r="E12" s="73" t="s">
        <v>175</v>
      </c>
      <c r="F12" s="73" t="s">
        <v>176</v>
      </c>
      <c r="K12" s="73" t="s">
        <v>149</v>
      </c>
      <c r="L12" s="73" t="s">
        <v>173</v>
      </c>
      <c r="M12" s="73" t="s">
        <v>174</v>
      </c>
      <c r="N12" s="73" t="s">
        <v>175</v>
      </c>
      <c r="O12" s="73" t="s">
        <v>176</v>
      </c>
    </row>
    <row r="13" spans="2:15" ht="30" customHeight="1">
      <c r="B13" s="3" t="s">
        <v>304</v>
      </c>
      <c r="C13" s="73" t="s">
        <v>177</v>
      </c>
      <c r="D13" s="73" t="s">
        <v>178</v>
      </c>
      <c r="E13" s="73" t="s">
        <v>179</v>
      </c>
      <c r="F13" s="73" t="s">
        <v>180</v>
      </c>
      <c r="K13" s="73" t="s">
        <v>149</v>
      </c>
      <c r="L13" s="73" t="s">
        <v>177</v>
      </c>
      <c r="M13" s="73" t="s">
        <v>178</v>
      </c>
      <c r="N13" s="73" t="s">
        <v>179</v>
      </c>
      <c r="O13" s="73" t="s">
        <v>180</v>
      </c>
    </row>
    <row r="14" spans="2:15" ht="30" customHeight="1">
      <c r="B14" s="3" t="s">
        <v>304</v>
      </c>
      <c r="C14" s="73" t="s">
        <v>181</v>
      </c>
      <c r="D14" s="73" t="s">
        <v>182</v>
      </c>
      <c r="E14" s="73" t="s">
        <v>183</v>
      </c>
      <c r="F14" s="73" t="s">
        <v>184</v>
      </c>
      <c r="K14" s="73" t="s">
        <v>149</v>
      </c>
      <c r="L14" s="73" t="s">
        <v>181</v>
      </c>
      <c r="M14" s="73" t="s">
        <v>182</v>
      </c>
      <c r="N14" s="73" t="s">
        <v>183</v>
      </c>
      <c r="O14" s="73" t="s">
        <v>184</v>
      </c>
    </row>
    <row r="15" spans="2:15" ht="30" customHeight="1">
      <c r="B15" s="3" t="s">
        <v>304</v>
      </c>
      <c r="C15" s="73" t="s">
        <v>185</v>
      </c>
      <c r="D15" s="73" t="s">
        <v>186</v>
      </c>
      <c r="E15" s="73" t="s">
        <v>187</v>
      </c>
      <c r="F15" s="73" t="s">
        <v>188</v>
      </c>
      <c r="K15" s="73" t="s">
        <v>149</v>
      </c>
      <c r="L15" s="73" t="s">
        <v>185</v>
      </c>
      <c r="M15" s="73" t="s">
        <v>186</v>
      </c>
      <c r="N15" s="73" t="s">
        <v>187</v>
      </c>
      <c r="O15" s="73" t="s">
        <v>188</v>
      </c>
    </row>
    <row r="16" spans="2:15" ht="30" customHeight="1">
      <c r="B16" s="3" t="s">
        <v>304</v>
      </c>
      <c r="C16" s="73" t="s">
        <v>189</v>
      </c>
      <c r="D16" s="73" t="s">
        <v>190</v>
      </c>
      <c r="E16" s="73" t="s">
        <v>191</v>
      </c>
      <c r="F16" s="73" t="s">
        <v>192</v>
      </c>
      <c r="K16" s="73" t="s">
        <v>149</v>
      </c>
      <c r="L16" s="73" t="s">
        <v>189</v>
      </c>
      <c r="M16" s="73" t="s">
        <v>190</v>
      </c>
      <c r="N16" s="73" t="s">
        <v>191</v>
      </c>
      <c r="O16" s="73" t="s">
        <v>192</v>
      </c>
    </row>
    <row r="17" spans="2:15" ht="30" customHeight="1">
      <c r="B17" s="3" t="s">
        <v>304</v>
      </c>
      <c r="C17" s="73" t="s">
        <v>193</v>
      </c>
      <c r="D17" s="73" t="s">
        <v>194</v>
      </c>
      <c r="E17" s="73" t="s">
        <v>195</v>
      </c>
      <c r="F17" s="73" t="s">
        <v>196</v>
      </c>
      <c r="K17" s="73" t="s">
        <v>149</v>
      </c>
      <c r="L17" s="73" t="s">
        <v>193</v>
      </c>
      <c r="M17" s="73" t="s">
        <v>194</v>
      </c>
      <c r="N17" s="73" t="s">
        <v>195</v>
      </c>
      <c r="O17" s="73" t="s">
        <v>196</v>
      </c>
    </row>
    <row r="18" spans="2:15" ht="30" customHeight="1">
      <c r="B18" s="3" t="s">
        <v>304</v>
      </c>
      <c r="C18" s="73" t="s">
        <v>197</v>
      </c>
      <c r="D18" s="73" t="s">
        <v>198</v>
      </c>
      <c r="E18" s="73" t="s">
        <v>199</v>
      </c>
      <c r="F18" s="73" t="s">
        <v>200</v>
      </c>
      <c r="K18" s="73" t="s">
        <v>149</v>
      </c>
      <c r="L18" s="73" t="s">
        <v>197</v>
      </c>
      <c r="M18" s="73" t="s">
        <v>198</v>
      </c>
      <c r="N18" s="73" t="s">
        <v>199</v>
      </c>
      <c r="O18" s="73" t="s">
        <v>200</v>
      </c>
    </row>
    <row r="19" spans="2:15" ht="30" customHeight="1">
      <c r="B19" s="3" t="s">
        <v>304</v>
      </c>
      <c r="C19" s="73" t="s">
        <v>201</v>
      </c>
      <c r="D19" s="73" t="s">
        <v>202</v>
      </c>
      <c r="E19" s="73" t="s">
        <v>199</v>
      </c>
      <c r="F19" s="73" t="s">
        <v>203</v>
      </c>
      <c r="K19" s="73" t="s">
        <v>149</v>
      </c>
      <c r="L19" s="73" t="s">
        <v>201</v>
      </c>
      <c r="M19" s="73" t="s">
        <v>202</v>
      </c>
      <c r="N19" s="73" t="s">
        <v>199</v>
      </c>
      <c r="O19" s="73" t="s">
        <v>203</v>
      </c>
    </row>
    <row r="20" spans="2:15" ht="30" customHeight="1">
      <c r="B20" s="3"/>
      <c r="C20" s="73" t="s">
        <v>60</v>
      </c>
      <c r="D20" s="73" t="s">
        <v>204</v>
      </c>
      <c r="E20" s="73" t="s">
        <v>205</v>
      </c>
      <c r="F20" s="73" t="s">
        <v>206</v>
      </c>
      <c r="K20" s="73" t="s">
        <v>149</v>
      </c>
      <c r="L20" s="73" t="s">
        <v>60</v>
      </c>
      <c r="M20" s="73" t="s">
        <v>204</v>
      </c>
      <c r="N20" s="73" t="s">
        <v>205</v>
      </c>
      <c r="O20" s="73" t="s">
        <v>206</v>
      </c>
    </row>
    <row r="21" spans="2:15" ht="30" customHeight="1">
      <c r="B21" s="3"/>
      <c r="C21" s="73" t="s">
        <v>207</v>
      </c>
      <c r="D21" s="73" t="s">
        <v>208</v>
      </c>
      <c r="E21" s="73" t="s">
        <v>205</v>
      </c>
      <c r="F21" s="73" t="s">
        <v>209</v>
      </c>
      <c r="K21" s="73" t="s">
        <v>149</v>
      </c>
      <c r="L21" s="73" t="s">
        <v>207</v>
      </c>
      <c r="M21" s="73" t="s">
        <v>208</v>
      </c>
      <c r="N21" s="73" t="s">
        <v>205</v>
      </c>
      <c r="O21" s="73" t="s">
        <v>209</v>
      </c>
    </row>
    <row r="22" spans="2:15" ht="30" customHeight="1">
      <c r="B22" s="3"/>
      <c r="C22" s="73" t="s">
        <v>210</v>
      </c>
      <c r="D22" s="73" t="s">
        <v>211</v>
      </c>
      <c r="E22" s="73" t="s">
        <v>212</v>
      </c>
      <c r="F22" s="73" t="s">
        <v>213</v>
      </c>
      <c r="K22" s="73" t="s">
        <v>149</v>
      </c>
      <c r="L22" s="73" t="s">
        <v>210</v>
      </c>
      <c r="M22" s="73" t="s">
        <v>211</v>
      </c>
      <c r="N22" s="73" t="s">
        <v>212</v>
      </c>
      <c r="O22" s="73" t="s">
        <v>213</v>
      </c>
    </row>
    <row r="23" spans="2:15" ht="30" customHeight="1">
      <c r="B23" s="3"/>
      <c r="C23" s="73" t="s">
        <v>214</v>
      </c>
      <c r="D23" s="73" t="s">
        <v>215</v>
      </c>
      <c r="E23" s="73" t="s">
        <v>216</v>
      </c>
      <c r="F23" s="73" t="s">
        <v>217</v>
      </c>
      <c r="K23" s="73" t="s">
        <v>149</v>
      </c>
      <c r="L23" s="73" t="s">
        <v>214</v>
      </c>
      <c r="M23" s="73" t="s">
        <v>215</v>
      </c>
      <c r="N23" s="73" t="s">
        <v>216</v>
      </c>
      <c r="O23" s="73" t="s">
        <v>217</v>
      </c>
    </row>
    <row r="24" spans="2:15" ht="60">
      <c r="C24" s="73" t="s">
        <v>219</v>
      </c>
      <c r="D24" s="73" t="s">
        <v>220</v>
      </c>
      <c r="E24" s="73" t="s">
        <v>221</v>
      </c>
      <c r="F24" s="73" t="s">
        <v>222</v>
      </c>
      <c r="K24" s="73" t="s">
        <v>218</v>
      </c>
      <c r="L24" s="73" t="s">
        <v>219</v>
      </c>
      <c r="M24" s="73" t="s">
        <v>220</v>
      </c>
      <c r="N24" s="73" t="s">
        <v>221</v>
      </c>
      <c r="O24" s="73" t="s">
        <v>222</v>
      </c>
    </row>
    <row r="25" spans="2:15" ht="45">
      <c r="C25" s="73" t="s">
        <v>223</v>
      </c>
      <c r="D25" s="73" t="s">
        <v>224</v>
      </c>
      <c r="E25" s="73" t="s">
        <v>221</v>
      </c>
      <c r="F25" s="73" t="s">
        <v>225</v>
      </c>
      <c r="K25" s="73" t="s">
        <v>218</v>
      </c>
      <c r="L25" s="73" t="s">
        <v>223</v>
      </c>
      <c r="M25" s="73" t="s">
        <v>224</v>
      </c>
      <c r="N25" s="73" t="s">
        <v>221</v>
      </c>
      <c r="O25" s="73" t="s">
        <v>225</v>
      </c>
    </row>
    <row r="26" spans="2:15" ht="45">
      <c r="C26" s="73" t="s">
        <v>226</v>
      </c>
      <c r="D26" s="73" t="s">
        <v>227</v>
      </c>
      <c r="E26" s="73" t="s">
        <v>221</v>
      </c>
      <c r="F26" s="73" t="s">
        <v>228</v>
      </c>
      <c r="K26" s="73" t="s">
        <v>218</v>
      </c>
      <c r="L26" s="73" t="s">
        <v>226</v>
      </c>
      <c r="M26" s="73" t="s">
        <v>227</v>
      </c>
      <c r="N26" s="73" t="s">
        <v>221</v>
      </c>
      <c r="O26" s="73" t="s">
        <v>228</v>
      </c>
    </row>
    <row r="27" spans="2:15" ht="45">
      <c r="C27" s="73" t="s">
        <v>229</v>
      </c>
      <c r="D27" s="73" t="s">
        <v>230</v>
      </c>
      <c r="E27" s="73" t="s">
        <v>221</v>
      </c>
      <c r="F27" s="73" t="s">
        <v>231</v>
      </c>
      <c r="K27" s="73" t="s">
        <v>218</v>
      </c>
      <c r="L27" s="73" t="s">
        <v>229</v>
      </c>
      <c r="M27" s="73" t="s">
        <v>230</v>
      </c>
      <c r="N27" s="73" t="s">
        <v>221</v>
      </c>
      <c r="O27" s="73" t="s">
        <v>231</v>
      </c>
    </row>
    <row r="28" spans="2:15" ht="30">
      <c r="C28" s="73" t="s">
        <v>232</v>
      </c>
      <c r="D28" s="73" t="s">
        <v>233</v>
      </c>
      <c r="E28" s="73" t="s">
        <v>221</v>
      </c>
      <c r="F28" s="73" t="s">
        <v>234</v>
      </c>
      <c r="K28" s="73" t="s">
        <v>218</v>
      </c>
      <c r="L28" s="73" t="s">
        <v>232</v>
      </c>
      <c r="M28" s="73" t="s">
        <v>233</v>
      </c>
      <c r="N28" s="73" t="s">
        <v>221</v>
      </c>
      <c r="O28" s="73" t="s">
        <v>234</v>
      </c>
    </row>
    <row r="29" spans="2:15" ht="45">
      <c r="C29" s="73" t="s">
        <v>235</v>
      </c>
      <c r="D29" s="73" t="s">
        <v>236</v>
      </c>
      <c r="E29" s="73" t="s">
        <v>221</v>
      </c>
      <c r="F29" s="73" t="s">
        <v>237</v>
      </c>
      <c r="K29" s="73" t="s">
        <v>218</v>
      </c>
      <c r="L29" s="73" t="s">
        <v>235</v>
      </c>
      <c r="M29" s="73" t="s">
        <v>236</v>
      </c>
      <c r="N29" s="73" t="s">
        <v>221</v>
      </c>
      <c r="O29" s="73" t="s">
        <v>237</v>
      </c>
    </row>
    <row r="30" spans="2:15" ht="30">
      <c r="C30" s="73" t="s">
        <v>238</v>
      </c>
      <c r="D30" s="73" t="s">
        <v>239</v>
      </c>
      <c r="E30" s="73" t="s">
        <v>221</v>
      </c>
      <c r="F30" s="73" t="s">
        <v>240</v>
      </c>
      <c r="K30" s="73" t="s">
        <v>218</v>
      </c>
      <c r="L30" s="73" t="s">
        <v>238</v>
      </c>
      <c r="M30" s="73" t="s">
        <v>239</v>
      </c>
      <c r="N30" s="73" t="s">
        <v>221</v>
      </c>
      <c r="O30" s="73" t="s">
        <v>240</v>
      </c>
    </row>
    <row r="31" spans="2:15" ht="45">
      <c r="C31" s="73" t="s">
        <v>241</v>
      </c>
      <c r="D31" s="73" t="s">
        <v>242</v>
      </c>
      <c r="E31" s="73" t="s">
        <v>221</v>
      </c>
      <c r="F31" s="73" t="s">
        <v>243</v>
      </c>
      <c r="K31" s="73" t="s">
        <v>218</v>
      </c>
      <c r="L31" s="73" t="s">
        <v>241</v>
      </c>
      <c r="M31" s="73" t="s">
        <v>242</v>
      </c>
      <c r="N31" s="73" t="s">
        <v>221</v>
      </c>
      <c r="O31" s="73" t="s">
        <v>243</v>
      </c>
    </row>
    <row r="32" spans="2:15" ht="75">
      <c r="C32" s="73" t="s">
        <v>244</v>
      </c>
      <c r="D32" s="73" t="s">
        <v>245</v>
      </c>
      <c r="E32" s="73" t="s">
        <v>221</v>
      </c>
      <c r="F32" s="73" t="s">
        <v>246</v>
      </c>
      <c r="K32" s="73" t="s">
        <v>218</v>
      </c>
      <c r="L32" s="73" t="s">
        <v>244</v>
      </c>
      <c r="M32" s="73" t="s">
        <v>245</v>
      </c>
      <c r="N32" s="73" t="s">
        <v>221</v>
      </c>
      <c r="O32" s="73" t="s">
        <v>246</v>
      </c>
    </row>
    <row r="33" spans="3:15" ht="105">
      <c r="C33" s="73" t="s">
        <v>248</v>
      </c>
      <c r="D33" s="74" t="s">
        <v>249</v>
      </c>
      <c r="E33" s="73" t="s">
        <v>250</v>
      </c>
      <c r="F33" s="73" t="s">
        <v>251</v>
      </c>
      <c r="K33" s="73" t="s">
        <v>247</v>
      </c>
      <c r="L33" s="73" t="s">
        <v>248</v>
      </c>
      <c r="M33" s="74" t="s">
        <v>249</v>
      </c>
      <c r="N33" s="73" t="s">
        <v>250</v>
      </c>
      <c r="O33" s="73" t="s">
        <v>251</v>
      </c>
    </row>
    <row r="34" spans="3:15" ht="75">
      <c r="C34" s="73" t="s">
        <v>252</v>
      </c>
      <c r="D34" s="73" t="s">
        <v>253</v>
      </c>
      <c r="E34" s="73" t="s">
        <v>152</v>
      </c>
      <c r="F34" s="73" t="s">
        <v>254</v>
      </c>
      <c r="K34" s="73" t="s">
        <v>247</v>
      </c>
      <c r="L34" s="73" t="s">
        <v>252</v>
      </c>
      <c r="M34" s="73" t="s">
        <v>253</v>
      </c>
      <c r="N34" s="73" t="s">
        <v>152</v>
      </c>
      <c r="O34" s="73" t="s">
        <v>254</v>
      </c>
    </row>
    <row r="35" spans="3:15" ht="75">
      <c r="C35" s="73" t="s">
        <v>214</v>
      </c>
      <c r="D35" s="73" t="s">
        <v>255</v>
      </c>
      <c r="E35" s="73" t="s">
        <v>256</v>
      </c>
      <c r="F35" s="73" t="s">
        <v>257</v>
      </c>
      <c r="K35" s="73" t="s">
        <v>247</v>
      </c>
      <c r="L35" s="73" t="s">
        <v>214</v>
      </c>
      <c r="M35" s="73" t="s">
        <v>255</v>
      </c>
      <c r="N35" s="73" t="s">
        <v>256</v>
      </c>
      <c r="O35" s="73" t="s">
        <v>257</v>
      </c>
    </row>
    <row r="36" spans="3:15" ht="60">
      <c r="C36" s="73" t="s">
        <v>258</v>
      </c>
      <c r="D36" s="73" t="s">
        <v>259</v>
      </c>
      <c r="E36" s="73" t="s">
        <v>256</v>
      </c>
      <c r="F36" s="73" t="s">
        <v>260</v>
      </c>
      <c r="K36" s="73" t="s">
        <v>247</v>
      </c>
      <c r="L36" s="73" t="s">
        <v>258</v>
      </c>
      <c r="M36" s="73" t="s">
        <v>259</v>
      </c>
      <c r="N36" s="73" t="s">
        <v>256</v>
      </c>
      <c r="O36" s="73" t="s">
        <v>260</v>
      </c>
    </row>
    <row r="37" spans="3:15" ht="105">
      <c r="C37" s="73" t="s">
        <v>261</v>
      </c>
      <c r="D37" s="73" t="s">
        <v>262</v>
      </c>
      <c r="E37" s="73" t="s">
        <v>171</v>
      </c>
      <c r="F37" s="73" t="s">
        <v>263</v>
      </c>
      <c r="K37" s="73" t="s">
        <v>247</v>
      </c>
      <c r="L37" s="73" t="s">
        <v>261</v>
      </c>
      <c r="M37" s="73" t="s">
        <v>262</v>
      </c>
      <c r="N37" s="73" t="s">
        <v>171</v>
      </c>
      <c r="O37" s="73" t="s">
        <v>263</v>
      </c>
    </row>
    <row r="38" spans="3:15" ht="135">
      <c r="C38" s="73" t="s">
        <v>264</v>
      </c>
      <c r="D38" s="74" t="s">
        <v>265</v>
      </c>
      <c r="E38" s="73" t="s">
        <v>171</v>
      </c>
      <c r="F38" s="73" t="s">
        <v>266</v>
      </c>
      <c r="K38" s="73" t="s">
        <v>247</v>
      </c>
      <c r="L38" s="73" t="s">
        <v>264</v>
      </c>
      <c r="M38" s="74" t="s">
        <v>265</v>
      </c>
      <c r="N38" s="73" t="s">
        <v>171</v>
      </c>
      <c r="O38" s="73" t="s">
        <v>266</v>
      </c>
    </row>
    <row r="39" spans="3:15" ht="75">
      <c r="C39" s="73" t="s">
        <v>267</v>
      </c>
      <c r="D39" s="73" t="s">
        <v>268</v>
      </c>
      <c r="E39" s="73" t="s">
        <v>269</v>
      </c>
      <c r="F39" s="73" t="s">
        <v>270</v>
      </c>
      <c r="K39" s="73" t="s">
        <v>247</v>
      </c>
      <c r="L39" s="73" t="s">
        <v>267</v>
      </c>
      <c r="M39" s="73" t="s">
        <v>268</v>
      </c>
      <c r="N39" s="73" t="s">
        <v>269</v>
      </c>
      <c r="O39" s="73" t="s">
        <v>270</v>
      </c>
    </row>
    <row r="40" spans="3:15" ht="105">
      <c r="C40" s="73" t="s">
        <v>271</v>
      </c>
      <c r="D40" s="74" t="s">
        <v>272</v>
      </c>
      <c r="E40" s="73" t="s">
        <v>269</v>
      </c>
      <c r="F40" s="73" t="s">
        <v>273</v>
      </c>
      <c r="K40" s="73" t="s">
        <v>247</v>
      </c>
      <c r="L40" s="73" t="s">
        <v>271</v>
      </c>
      <c r="M40" s="74" t="s">
        <v>272</v>
      </c>
      <c r="N40" s="73" t="s">
        <v>269</v>
      </c>
      <c r="O40" s="73" t="s">
        <v>273</v>
      </c>
    </row>
    <row r="41" spans="3:15" ht="90">
      <c r="C41" s="73" t="s">
        <v>274</v>
      </c>
      <c r="D41" s="74" t="s">
        <v>275</v>
      </c>
      <c r="E41" s="73" t="s">
        <v>269</v>
      </c>
      <c r="F41" s="73" t="s">
        <v>276</v>
      </c>
      <c r="K41" s="73" t="s">
        <v>247</v>
      </c>
      <c r="L41" s="73" t="s">
        <v>274</v>
      </c>
      <c r="M41" s="74" t="s">
        <v>275</v>
      </c>
      <c r="N41" s="73" t="s">
        <v>269</v>
      </c>
      <c r="O41" s="73" t="s">
        <v>276</v>
      </c>
    </row>
    <row r="42" spans="3:15" ht="75">
      <c r="C42" s="73" t="s">
        <v>277</v>
      </c>
      <c r="D42" s="73" t="s">
        <v>278</v>
      </c>
      <c r="E42" s="73" t="s">
        <v>279</v>
      </c>
      <c r="F42" s="73" t="s">
        <v>280</v>
      </c>
      <c r="K42" s="73" t="s">
        <v>247</v>
      </c>
      <c r="L42" s="73" t="s">
        <v>277</v>
      </c>
      <c r="M42" s="73" t="s">
        <v>278</v>
      </c>
      <c r="N42" s="73" t="s">
        <v>279</v>
      </c>
      <c r="O42" s="73" t="s">
        <v>280</v>
      </c>
    </row>
    <row r="43" spans="3:15" ht="105">
      <c r="C43" s="73" t="s">
        <v>277</v>
      </c>
      <c r="D43" s="73" t="s">
        <v>281</v>
      </c>
      <c r="E43" s="73" t="s">
        <v>282</v>
      </c>
      <c r="F43" s="73" t="s">
        <v>283</v>
      </c>
      <c r="K43" s="73" t="s">
        <v>247</v>
      </c>
      <c r="L43" s="73" t="s">
        <v>277</v>
      </c>
      <c r="M43" s="73" t="s">
        <v>281</v>
      </c>
      <c r="N43" s="73" t="s">
        <v>282</v>
      </c>
      <c r="O43" s="73" t="s">
        <v>283</v>
      </c>
    </row>
    <row r="44" spans="3:15" ht="45">
      <c r="C44" s="73" t="s">
        <v>284</v>
      </c>
      <c r="D44" s="73" t="s">
        <v>285</v>
      </c>
      <c r="E44" s="73" t="s">
        <v>212</v>
      </c>
      <c r="F44" s="73" t="s">
        <v>286</v>
      </c>
      <c r="K44" s="73" t="s">
        <v>247</v>
      </c>
      <c r="L44" s="73" t="s">
        <v>284</v>
      </c>
      <c r="M44" s="73" t="s">
        <v>285</v>
      </c>
      <c r="N44" s="73" t="s">
        <v>212</v>
      </c>
      <c r="O44" s="73" t="s">
        <v>286</v>
      </c>
    </row>
    <row r="45" spans="3:15" ht="120">
      <c r="C45" s="73" t="s">
        <v>287</v>
      </c>
      <c r="D45" s="73" t="s">
        <v>288</v>
      </c>
      <c r="E45" s="73" t="s">
        <v>221</v>
      </c>
      <c r="F45" s="73" t="s">
        <v>289</v>
      </c>
      <c r="K45" s="73" t="s">
        <v>247</v>
      </c>
      <c r="L45" s="73" t="s">
        <v>287</v>
      </c>
      <c r="M45" s="73" t="s">
        <v>288</v>
      </c>
      <c r="N45" s="73" t="s">
        <v>221</v>
      </c>
      <c r="O45" s="73" t="s">
        <v>289</v>
      </c>
    </row>
    <row r="46" spans="3:15" ht="105">
      <c r="C46" s="73" t="s">
        <v>258</v>
      </c>
      <c r="D46" s="73" t="s">
        <v>290</v>
      </c>
      <c r="E46" s="73" t="s">
        <v>291</v>
      </c>
      <c r="F46" s="73" t="s">
        <v>292</v>
      </c>
      <c r="K46" s="73" t="s">
        <v>247</v>
      </c>
      <c r="L46" s="73" t="s">
        <v>258</v>
      </c>
      <c r="M46" s="73" t="s">
        <v>290</v>
      </c>
      <c r="N46" s="73" t="s">
        <v>291</v>
      </c>
      <c r="O46" s="73" t="s">
        <v>292</v>
      </c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6"/>
  <sheetViews>
    <sheetView showGridLines="0" topLeftCell="A4" zoomScaleNormal="100" workbookViewId="0">
      <selection activeCell="C16" sqref="C16:H16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38" t="s">
        <v>32</v>
      </c>
      <c r="C2" s="39"/>
      <c r="D2" s="39"/>
      <c r="E2" s="39"/>
      <c r="F2" s="39"/>
      <c r="G2" s="39"/>
      <c r="H2" s="39"/>
    </row>
    <row r="3" spans="2:8" ht="72.400000000000006" customHeight="1">
      <c r="B3" s="43" t="s">
        <v>133</v>
      </c>
      <c r="C3" s="37"/>
      <c r="D3" s="37"/>
      <c r="E3" s="37"/>
      <c r="F3" s="37"/>
      <c r="G3" s="37"/>
      <c r="H3" s="30"/>
    </row>
    <row r="4" spans="2:8" ht="18" customHeight="1">
      <c r="B4" s="44" t="s">
        <v>33</v>
      </c>
      <c r="C4" s="37"/>
      <c r="D4" s="37"/>
      <c r="E4" s="37"/>
      <c r="F4" s="37"/>
      <c r="G4" s="37"/>
      <c r="H4" s="30"/>
    </row>
    <row r="5" spans="2:8" ht="31.5" customHeight="1">
      <c r="B5" s="75" t="s">
        <v>34</v>
      </c>
      <c r="C5" s="75" t="s">
        <v>35</v>
      </c>
      <c r="D5" s="76" t="s">
        <v>36</v>
      </c>
      <c r="E5" s="77" t="s">
        <v>37</v>
      </c>
      <c r="F5" s="77" t="s">
        <v>38</v>
      </c>
      <c r="G5" s="75" t="s">
        <v>39</v>
      </c>
      <c r="H5" s="77" t="s">
        <v>40</v>
      </c>
    </row>
    <row r="6" spans="2:8" ht="33.75" customHeight="1">
      <c r="B6" s="78" t="s">
        <v>219</v>
      </c>
      <c r="C6" s="78" t="s">
        <v>296</v>
      </c>
      <c r="D6" s="79">
        <v>2</v>
      </c>
      <c r="E6" s="80">
        <v>5</v>
      </c>
      <c r="F6" s="80">
        <v>5</v>
      </c>
      <c r="G6" s="81">
        <f t="shared" ref="G6:G14" si="0">IF(OR(E6="",F6=""),"",E6*F6*2)</f>
        <v>50</v>
      </c>
      <c r="H6" s="81" t="s">
        <v>305</v>
      </c>
    </row>
    <row r="7" spans="2:8" ht="33.75" customHeight="1">
      <c r="B7" s="78" t="s">
        <v>223</v>
      </c>
      <c r="C7" s="78" t="s">
        <v>297</v>
      </c>
      <c r="D7" s="79">
        <v>2</v>
      </c>
      <c r="E7" s="80">
        <v>5</v>
      </c>
      <c r="F7" s="80">
        <v>3</v>
      </c>
      <c r="G7" s="81">
        <f t="shared" si="0"/>
        <v>30</v>
      </c>
      <c r="H7" s="81" t="s">
        <v>307</v>
      </c>
    </row>
    <row r="8" spans="2:8" ht="33.75" customHeight="1">
      <c r="B8" s="78" t="s">
        <v>226</v>
      </c>
      <c r="C8" s="78" t="s">
        <v>298</v>
      </c>
      <c r="D8" s="79">
        <v>2</v>
      </c>
      <c r="E8" s="80">
        <v>5</v>
      </c>
      <c r="F8" s="80">
        <v>4</v>
      </c>
      <c r="G8" s="81">
        <f t="shared" si="0"/>
        <v>40</v>
      </c>
      <c r="H8" s="81" t="s">
        <v>306</v>
      </c>
    </row>
    <row r="9" spans="2:8" ht="33.75" customHeight="1">
      <c r="B9" s="78" t="s">
        <v>229</v>
      </c>
      <c r="C9" s="78" t="s">
        <v>299</v>
      </c>
      <c r="D9" s="79">
        <v>4</v>
      </c>
      <c r="E9" s="80">
        <v>2</v>
      </c>
      <c r="F9" s="80">
        <v>5</v>
      </c>
      <c r="G9" s="81">
        <f t="shared" si="0"/>
        <v>20</v>
      </c>
      <c r="H9" s="81" t="s">
        <v>307</v>
      </c>
    </row>
    <row r="10" spans="2:8" ht="33.75" customHeight="1">
      <c r="B10" s="78" t="s">
        <v>232</v>
      </c>
      <c r="C10" s="78" t="s">
        <v>300</v>
      </c>
      <c r="D10" s="79">
        <v>2</v>
      </c>
      <c r="E10" s="80">
        <v>5</v>
      </c>
      <c r="F10" s="80">
        <v>4</v>
      </c>
      <c r="G10" s="81">
        <f t="shared" si="0"/>
        <v>40</v>
      </c>
      <c r="H10" s="81" t="s">
        <v>306</v>
      </c>
    </row>
    <row r="11" spans="2:8" ht="33.75" customHeight="1">
      <c r="B11" s="78" t="s">
        <v>235</v>
      </c>
      <c r="C11" s="78" t="s">
        <v>236</v>
      </c>
      <c r="D11" s="79">
        <v>5</v>
      </c>
      <c r="E11" s="80">
        <v>1</v>
      </c>
      <c r="F11" s="80">
        <v>3</v>
      </c>
      <c r="G11" s="81">
        <f t="shared" si="0"/>
        <v>6</v>
      </c>
      <c r="H11" s="81" t="s">
        <v>307</v>
      </c>
    </row>
    <row r="12" spans="2:8" ht="33.75" customHeight="1">
      <c r="B12" s="78" t="s">
        <v>295</v>
      </c>
      <c r="C12" s="78" t="s">
        <v>301</v>
      </c>
      <c r="D12" s="79">
        <v>3</v>
      </c>
      <c r="E12" s="80">
        <v>4</v>
      </c>
      <c r="F12" s="80">
        <v>3</v>
      </c>
      <c r="G12" s="81">
        <f t="shared" si="0"/>
        <v>24</v>
      </c>
      <c r="H12" s="81" t="s">
        <v>307</v>
      </c>
    </row>
    <row r="13" spans="2:8" ht="33.75" customHeight="1">
      <c r="B13" s="78" t="s">
        <v>241</v>
      </c>
      <c r="C13" s="78" t="s">
        <v>302</v>
      </c>
      <c r="D13" s="79">
        <v>1</v>
      </c>
      <c r="E13" s="80">
        <v>5</v>
      </c>
      <c r="F13" s="80">
        <v>4</v>
      </c>
      <c r="G13" s="81">
        <f t="shared" si="0"/>
        <v>40</v>
      </c>
      <c r="H13" s="81" t="s">
        <v>306</v>
      </c>
    </row>
    <row r="14" spans="2:8" s="26" customFormat="1" ht="33.75" customHeight="1">
      <c r="B14" s="78" t="s">
        <v>244</v>
      </c>
      <c r="C14" s="78" t="s">
        <v>303</v>
      </c>
      <c r="D14" s="79">
        <v>2</v>
      </c>
      <c r="E14" s="80">
        <v>5</v>
      </c>
      <c r="F14" s="80">
        <v>5</v>
      </c>
      <c r="G14" s="81">
        <f t="shared" si="0"/>
        <v>50</v>
      </c>
      <c r="H14" s="81" t="s">
        <v>306</v>
      </c>
    </row>
    <row r="16" spans="2:8" ht="118.7" customHeight="1">
      <c r="B16" s="15" t="s">
        <v>132</v>
      </c>
      <c r="C16" s="82" t="s">
        <v>308</v>
      </c>
      <c r="D16" s="83"/>
      <c r="E16" s="83"/>
      <c r="F16" s="83"/>
      <c r="G16" s="83"/>
      <c r="H16" s="32"/>
    </row>
  </sheetData>
  <mergeCells count="4">
    <mergeCell ref="B3:H3"/>
    <mergeCell ref="B2:H2"/>
    <mergeCell ref="B4:H4"/>
    <mergeCell ref="C16:H16"/>
  </mergeCells>
  <phoneticPr fontId="17" type="noConversion"/>
  <conditionalFormatting sqref="G6:G14">
    <cfRule type="expression" dxfId="1" priority="2">
      <formula>AND(G6&lt;&gt;"",G6&gt;=32)</formula>
    </cfRule>
  </conditionalFormatting>
  <dataValidations count="1">
    <dataValidation type="list" allowBlank="1" sqref="H6:H14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J24"/>
  <sheetViews>
    <sheetView showGridLines="0" tabSelected="1" zoomScaleNormal="100" workbookViewId="0">
      <selection activeCell="C8" sqref="C8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  <col min="7" max="7" width="13.85546875" customWidth="1"/>
    <col min="8" max="8" width="24.42578125" customWidth="1"/>
    <col min="9" max="9" width="18.140625" customWidth="1"/>
    <col min="10" max="10" width="29.42578125" customWidth="1"/>
  </cols>
  <sheetData>
    <row r="2" spans="2:10" ht="30" customHeight="1">
      <c r="B2" s="41" t="s">
        <v>41</v>
      </c>
      <c r="C2" s="39"/>
      <c r="G2" s="72" t="s">
        <v>27</v>
      </c>
      <c r="H2" s="72" t="s">
        <v>294</v>
      </c>
      <c r="I2" s="72" t="s">
        <v>309</v>
      </c>
      <c r="J2" s="72" t="s">
        <v>310</v>
      </c>
    </row>
    <row r="3" spans="2:10" ht="18" customHeight="1">
      <c r="B3" s="47" t="s">
        <v>42</v>
      </c>
      <c r="C3" s="30"/>
      <c r="G3" s="74" t="s">
        <v>311</v>
      </c>
      <c r="H3" s="74" t="s">
        <v>343</v>
      </c>
      <c r="I3" s="73" t="s">
        <v>312</v>
      </c>
      <c r="J3" s="73" t="s">
        <v>313</v>
      </c>
    </row>
    <row r="4" spans="2:10" ht="30" customHeight="1">
      <c r="B4" s="1" t="s">
        <v>43</v>
      </c>
      <c r="C4" s="2" t="s">
        <v>359</v>
      </c>
      <c r="G4" s="74"/>
      <c r="H4" s="74"/>
      <c r="I4" s="73"/>
      <c r="J4" s="73"/>
    </row>
    <row r="5" spans="2:10" ht="30" customHeight="1">
      <c r="B5" s="1" t="s">
        <v>44</v>
      </c>
      <c r="C5" s="2" t="s">
        <v>360</v>
      </c>
      <c r="G5" s="74"/>
      <c r="H5" s="74"/>
      <c r="I5" s="73"/>
      <c r="J5" s="73"/>
    </row>
    <row r="6" spans="2:10" ht="30" customHeight="1">
      <c r="B6" s="1" t="s">
        <v>45</v>
      </c>
      <c r="C6" s="2" t="s">
        <v>361</v>
      </c>
      <c r="G6" s="74"/>
      <c r="H6" s="74"/>
      <c r="I6" s="73"/>
      <c r="J6" s="73"/>
    </row>
    <row r="7" spans="2:10" ht="30" customHeight="1">
      <c r="B7" s="1" t="s">
        <v>46</v>
      </c>
      <c r="C7" s="2" t="s">
        <v>362</v>
      </c>
      <c r="G7" s="74" t="s">
        <v>311</v>
      </c>
      <c r="H7" s="74" t="s">
        <v>314</v>
      </c>
      <c r="I7" s="73" t="s">
        <v>315</v>
      </c>
      <c r="J7" s="73" t="s">
        <v>316</v>
      </c>
    </row>
    <row r="8" spans="2:10" ht="60">
      <c r="G8" s="74" t="s">
        <v>311</v>
      </c>
      <c r="H8" s="74" t="s">
        <v>317</v>
      </c>
      <c r="I8" s="73" t="s">
        <v>318</v>
      </c>
      <c r="J8" s="73" t="s">
        <v>316</v>
      </c>
    </row>
    <row r="9" spans="2:10" ht="15" customHeight="1">
      <c r="B9" s="45" t="s">
        <v>47</v>
      </c>
      <c r="C9" s="46"/>
      <c r="G9" s="74" t="s">
        <v>311</v>
      </c>
      <c r="H9" s="74" t="s">
        <v>319</v>
      </c>
      <c r="I9" s="73" t="s">
        <v>320</v>
      </c>
      <c r="J9" s="73" t="s">
        <v>316</v>
      </c>
    </row>
    <row r="10" spans="2:10" ht="25.5" customHeight="1">
      <c r="B10" s="34" t="s">
        <v>344</v>
      </c>
      <c r="C10" s="35"/>
      <c r="G10" s="74" t="s">
        <v>311</v>
      </c>
      <c r="H10" s="74" t="s">
        <v>321</v>
      </c>
      <c r="I10" s="73" t="s">
        <v>322</v>
      </c>
      <c r="J10" s="73" t="s">
        <v>316</v>
      </c>
    </row>
    <row r="11" spans="2:10" ht="25.5" customHeight="1">
      <c r="B11" s="85" t="s">
        <v>345</v>
      </c>
      <c r="C11" s="35"/>
      <c r="G11" s="74" t="s">
        <v>311</v>
      </c>
      <c r="H11" s="74" t="s">
        <v>323</v>
      </c>
      <c r="I11" s="73" t="s">
        <v>324</v>
      </c>
      <c r="J11" s="73" t="s">
        <v>325</v>
      </c>
    </row>
    <row r="12" spans="2:10" ht="25.5" customHeight="1">
      <c r="B12" s="34" t="s">
        <v>347</v>
      </c>
      <c r="C12" s="35"/>
      <c r="G12" s="74" t="s">
        <v>311</v>
      </c>
      <c r="H12" s="84" t="s">
        <v>341</v>
      </c>
      <c r="I12" s="73" t="s">
        <v>326</v>
      </c>
      <c r="J12" s="73" t="s">
        <v>325</v>
      </c>
    </row>
    <row r="13" spans="2:10" ht="25.5" customHeight="1">
      <c r="B13" s="34" t="s">
        <v>346</v>
      </c>
      <c r="C13" s="35"/>
      <c r="G13" s="74" t="s">
        <v>311</v>
      </c>
      <c r="H13" s="74" t="s">
        <v>327</v>
      </c>
      <c r="I13" s="73" t="s">
        <v>328</v>
      </c>
      <c r="J13" s="73" t="s">
        <v>325</v>
      </c>
    </row>
    <row r="14" spans="2:10" ht="25.5" customHeight="1">
      <c r="B14" s="34"/>
      <c r="C14" s="35"/>
      <c r="G14" s="74" t="s">
        <v>311</v>
      </c>
      <c r="H14" s="74" t="s">
        <v>342</v>
      </c>
      <c r="I14" s="73" t="s">
        <v>329</v>
      </c>
      <c r="J14" s="73" t="s">
        <v>330</v>
      </c>
    </row>
    <row r="15" spans="2:10" ht="60">
      <c r="G15" s="74" t="s">
        <v>311</v>
      </c>
      <c r="H15" s="74" t="s">
        <v>331</v>
      </c>
      <c r="I15" s="73" t="s">
        <v>332</v>
      </c>
      <c r="J15" s="73" t="s">
        <v>333</v>
      </c>
    </row>
    <row r="16" spans="2:10" ht="15" customHeight="1">
      <c r="B16" s="50" t="s">
        <v>48</v>
      </c>
      <c r="C16" s="51"/>
      <c r="G16" s="74" t="s">
        <v>311</v>
      </c>
      <c r="H16" s="74" t="s">
        <v>334</v>
      </c>
      <c r="I16" s="73" t="s">
        <v>335</v>
      </c>
      <c r="J16" s="73" t="s">
        <v>333</v>
      </c>
    </row>
    <row r="17" spans="2:10" ht="25.5" customHeight="1">
      <c r="B17" s="86" t="s">
        <v>351</v>
      </c>
      <c r="C17" s="35"/>
      <c r="G17" s="74" t="s">
        <v>311</v>
      </c>
      <c r="H17" s="74" t="s">
        <v>336</v>
      </c>
      <c r="I17" s="73" t="s">
        <v>337</v>
      </c>
      <c r="J17" s="73" t="s">
        <v>338</v>
      </c>
    </row>
    <row r="18" spans="2:10" ht="25.5" customHeight="1">
      <c r="B18" s="86" t="s">
        <v>354</v>
      </c>
      <c r="C18" s="35"/>
      <c r="G18" s="74" t="s">
        <v>311</v>
      </c>
      <c r="H18" s="74" t="s">
        <v>339</v>
      </c>
      <c r="I18" s="73" t="s">
        <v>340</v>
      </c>
      <c r="J18" s="73" t="s">
        <v>338</v>
      </c>
    </row>
    <row r="19" spans="2:10" ht="25.5" customHeight="1">
      <c r="B19" s="34"/>
      <c r="C19" s="35"/>
      <c r="G19" s="74"/>
      <c r="H19" s="74"/>
      <c r="I19" s="73"/>
      <c r="J19" s="73"/>
    </row>
    <row r="20" spans="2:10">
      <c r="G20" s="72" t="s">
        <v>27</v>
      </c>
      <c r="H20" s="72" t="s">
        <v>294</v>
      </c>
      <c r="I20" s="72" t="s">
        <v>309</v>
      </c>
      <c r="J20" s="73"/>
    </row>
    <row r="21" spans="2:10" ht="15" customHeight="1">
      <c r="B21" s="48" t="s">
        <v>49</v>
      </c>
      <c r="C21" s="49"/>
      <c r="G21" s="74" t="s">
        <v>348</v>
      </c>
      <c r="H21" s="84" t="s">
        <v>349</v>
      </c>
      <c r="I21" s="87" t="s">
        <v>350</v>
      </c>
      <c r="J21" s="73"/>
    </row>
    <row r="22" spans="2:10" ht="25.5" customHeight="1">
      <c r="B22" s="88" t="s">
        <v>357</v>
      </c>
      <c r="C22" s="35"/>
      <c r="G22" s="74" t="s">
        <v>348</v>
      </c>
      <c r="H22" s="84" t="s">
        <v>352</v>
      </c>
      <c r="I22" s="87" t="s">
        <v>353</v>
      </c>
    </row>
    <row r="23" spans="2:10" ht="25.5" customHeight="1">
      <c r="B23" s="86" t="s">
        <v>358</v>
      </c>
      <c r="C23" s="35"/>
      <c r="G23" s="74" t="s">
        <v>348</v>
      </c>
      <c r="H23" s="84" t="s">
        <v>355</v>
      </c>
      <c r="I23" s="87" t="s">
        <v>356</v>
      </c>
    </row>
    <row r="24" spans="2:10" ht="25.5" customHeight="1">
      <c r="B24" s="34"/>
      <c r="C24" s="35"/>
    </row>
  </sheetData>
  <mergeCells count="16">
    <mergeCell ref="B24:C24"/>
    <mergeCell ref="B13:C13"/>
    <mergeCell ref="B14:C14"/>
    <mergeCell ref="B17:C17"/>
    <mergeCell ref="B18:C18"/>
    <mergeCell ref="B19:C19"/>
    <mergeCell ref="B21:C21"/>
    <mergeCell ref="B16:C16"/>
    <mergeCell ref="B9:C9"/>
    <mergeCell ref="B22:C22"/>
    <mergeCell ref="B23:C23"/>
    <mergeCell ref="B3:C3"/>
    <mergeCell ref="B2:C2"/>
    <mergeCell ref="B10:C10"/>
    <mergeCell ref="B11:C11"/>
    <mergeCell ref="B12:C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zoomScaleNormal="100" workbookViewId="0"/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53" t="s">
        <v>50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2:13" ht="79.7" customHeight="1">
      <c r="B3" s="52" t="s">
        <v>134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0"/>
    </row>
    <row r="4" spans="2:13" ht="25.5" customHeight="1">
      <c r="B4" s="11" t="s">
        <v>51</v>
      </c>
      <c r="C4" s="10" t="s">
        <v>52</v>
      </c>
      <c r="D4" s="10" t="s">
        <v>53</v>
      </c>
      <c r="E4" s="10" t="s">
        <v>54</v>
      </c>
      <c r="F4" s="19" t="s">
        <v>137</v>
      </c>
      <c r="G4" s="19" t="s">
        <v>138</v>
      </c>
      <c r="H4" s="16" t="s">
        <v>55</v>
      </c>
      <c r="I4" s="18" t="s">
        <v>136</v>
      </c>
      <c r="J4" s="10" t="s">
        <v>56</v>
      </c>
      <c r="K4" s="17">
        <v>1</v>
      </c>
      <c r="L4" s="17">
        <v>2</v>
      </c>
      <c r="M4" s="17">
        <v>3</v>
      </c>
    </row>
    <row r="5" spans="2:13" ht="30" customHeight="1">
      <c r="B5" s="5">
        <v>1</v>
      </c>
      <c r="C5" s="5"/>
      <c r="D5" s="2"/>
      <c r="E5" s="5"/>
      <c r="F5" s="5"/>
      <c r="G5" s="5"/>
      <c r="H5" s="5" t="str">
        <f t="shared" ref="H5:H18" si="0">IF(OR(F5="",G5=""),"",G5-F5+1)</f>
        <v/>
      </c>
      <c r="I5" s="5"/>
      <c r="J5" s="5"/>
      <c r="K5" s="3"/>
      <c r="L5" s="3"/>
      <c r="M5" s="3"/>
    </row>
    <row r="6" spans="2:13" ht="30" customHeight="1">
      <c r="B6" s="5">
        <v>2</v>
      </c>
      <c r="C6" s="5"/>
      <c r="D6" s="2"/>
      <c r="E6" s="5"/>
      <c r="F6" s="5"/>
      <c r="G6" s="5"/>
      <c r="H6" s="5" t="str">
        <f t="shared" si="0"/>
        <v/>
      </c>
      <c r="I6" s="5"/>
      <c r="J6" s="5"/>
      <c r="K6" s="3"/>
      <c r="L6" s="3"/>
      <c r="M6" s="3"/>
    </row>
    <row r="7" spans="2:13" ht="30" customHeight="1">
      <c r="B7" s="5">
        <v>3</v>
      </c>
      <c r="C7" s="5"/>
      <c r="D7" s="2"/>
      <c r="E7" s="5"/>
      <c r="F7" s="5"/>
      <c r="G7" s="5"/>
      <c r="H7" s="5" t="str">
        <f t="shared" si="0"/>
        <v/>
      </c>
      <c r="I7" s="5"/>
      <c r="J7" s="5"/>
      <c r="K7" s="3"/>
      <c r="L7" s="3"/>
      <c r="M7" s="3"/>
    </row>
    <row r="8" spans="2:13" ht="30" customHeight="1">
      <c r="B8" s="5">
        <v>4</v>
      </c>
      <c r="C8" s="5"/>
      <c r="D8" s="2"/>
      <c r="E8" s="5"/>
      <c r="F8" s="5"/>
      <c r="G8" s="5"/>
      <c r="H8" s="5" t="str">
        <f t="shared" si="0"/>
        <v/>
      </c>
      <c r="I8" s="5"/>
      <c r="J8" s="5"/>
      <c r="K8" s="3"/>
      <c r="L8" s="3"/>
      <c r="M8" s="3"/>
    </row>
    <row r="9" spans="2:13" ht="30" customHeight="1">
      <c r="B9" s="5">
        <v>5</v>
      </c>
      <c r="C9" s="5"/>
      <c r="D9" s="2"/>
      <c r="E9" s="5"/>
      <c r="F9" s="5"/>
      <c r="G9" s="5"/>
      <c r="H9" s="5" t="str">
        <f t="shared" si="0"/>
        <v/>
      </c>
      <c r="I9" s="5"/>
      <c r="J9" s="5"/>
      <c r="K9" s="3"/>
      <c r="L9" s="3"/>
      <c r="M9" s="3"/>
    </row>
    <row r="10" spans="2:13" ht="30" customHeight="1">
      <c r="B10" s="5">
        <v>6</v>
      </c>
      <c r="C10" s="5"/>
      <c r="D10" s="2"/>
      <c r="E10" s="5"/>
      <c r="F10" s="5"/>
      <c r="G10" s="5"/>
      <c r="H10" s="5" t="str">
        <f t="shared" si="0"/>
        <v/>
      </c>
      <c r="I10" s="5"/>
      <c r="J10" s="5"/>
      <c r="K10" s="3"/>
      <c r="L10" s="3"/>
      <c r="M10" s="3"/>
    </row>
    <row r="11" spans="2:13" ht="30" customHeight="1">
      <c r="B11" s="5">
        <v>7</v>
      </c>
      <c r="C11" s="5"/>
      <c r="D11" s="2"/>
      <c r="E11" s="5"/>
      <c r="F11" s="5"/>
      <c r="G11" s="5"/>
      <c r="H11" s="5" t="str">
        <f t="shared" si="0"/>
        <v/>
      </c>
      <c r="I11" s="5"/>
      <c r="J11" s="5"/>
      <c r="K11" s="3"/>
      <c r="L11" s="3"/>
      <c r="M11" s="3"/>
    </row>
    <row r="12" spans="2:13" ht="30" customHeight="1">
      <c r="B12" s="5">
        <v>8</v>
      </c>
      <c r="C12" s="5"/>
      <c r="D12" s="2"/>
      <c r="E12" s="5"/>
      <c r="F12" s="5"/>
      <c r="G12" s="5"/>
      <c r="H12" s="5" t="str">
        <f t="shared" si="0"/>
        <v/>
      </c>
      <c r="I12" s="5"/>
      <c r="J12" s="5"/>
      <c r="K12" s="3"/>
      <c r="L12" s="3"/>
      <c r="M12" s="3"/>
    </row>
    <row r="13" spans="2:13" ht="30" customHeight="1">
      <c r="B13" s="5">
        <v>9</v>
      </c>
      <c r="C13" s="5"/>
      <c r="D13" s="2"/>
      <c r="E13" s="5"/>
      <c r="F13" s="5"/>
      <c r="G13" s="5"/>
      <c r="H13" s="5" t="str">
        <f t="shared" si="0"/>
        <v/>
      </c>
      <c r="I13" s="5"/>
      <c r="J13" s="5"/>
      <c r="K13" s="3"/>
      <c r="L13" s="3"/>
      <c r="M13" s="3"/>
    </row>
    <row r="14" spans="2:13" ht="30" customHeight="1">
      <c r="B14" s="5">
        <v>10</v>
      </c>
      <c r="C14" s="5"/>
      <c r="D14" s="2"/>
      <c r="E14" s="5"/>
      <c r="F14" s="5"/>
      <c r="G14" s="5"/>
      <c r="H14" s="5" t="str">
        <f t="shared" si="0"/>
        <v/>
      </c>
      <c r="I14" s="5"/>
      <c r="J14" s="5"/>
      <c r="K14" s="3"/>
      <c r="L14" s="3"/>
      <c r="M14" s="3"/>
    </row>
    <row r="15" spans="2:13" ht="30" customHeight="1">
      <c r="B15" s="5">
        <v>11</v>
      </c>
      <c r="C15" s="5"/>
      <c r="D15" s="2"/>
      <c r="E15" s="5"/>
      <c r="F15" s="5"/>
      <c r="G15" s="5"/>
      <c r="H15" s="5" t="str">
        <f t="shared" si="0"/>
        <v/>
      </c>
      <c r="I15" s="5"/>
      <c r="J15" s="5"/>
      <c r="K15" s="3"/>
      <c r="L15" s="3"/>
      <c r="M15" s="3"/>
    </row>
    <row r="16" spans="2:13" ht="30" customHeight="1">
      <c r="B16" s="5">
        <v>12</v>
      </c>
      <c r="C16" s="5"/>
      <c r="D16" s="2"/>
      <c r="E16" s="5"/>
      <c r="F16" s="5"/>
      <c r="G16" s="5"/>
      <c r="H16" s="5" t="str">
        <f t="shared" si="0"/>
        <v/>
      </c>
      <c r="I16" s="5"/>
      <c r="J16" s="5"/>
      <c r="K16" s="3"/>
      <c r="L16" s="3"/>
      <c r="M16" s="3"/>
    </row>
    <row r="17" spans="2:13" ht="30" customHeight="1">
      <c r="B17" s="5">
        <v>13</v>
      </c>
      <c r="C17" s="5"/>
      <c r="D17" s="2"/>
      <c r="E17" s="5"/>
      <c r="F17" s="5"/>
      <c r="G17" s="5"/>
      <c r="H17" s="5" t="str">
        <f t="shared" si="0"/>
        <v/>
      </c>
      <c r="I17" s="5"/>
      <c r="J17" s="5"/>
      <c r="K17" s="3"/>
      <c r="L17" s="3"/>
      <c r="M17" s="3"/>
    </row>
    <row r="18" spans="2:13" ht="30" customHeight="1">
      <c r="B18" s="5">
        <v>14</v>
      </c>
      <c r="C18" s="5"/>
      <c r="D18" s="2"/>
      <c r="E18" s="5"/>
      <c r="F18" s="5"/>
      <c r="G18" s="5"/>
      <c r="H18" s="5" t="str">
        <f t="shared" si="0"/>
        <v/>
      </c>
      <c r="I18" s="5"/>
      <c r="J18" s="5"/>
      <c r="K18" s="3"/>
      <c r="L18" s="3"/>
      <c r="M18" s="3"/>
    </row>
    <row r="20" spans="2:13" ht="15" customHeight="1">
      <c r="B20" s="54" t="s">
        <v>135</v>
      </c>
      <c r="C20" s="55"/>
    </row>
    <row r="21" spans="2:13" ht="15" customHeight="1">
      <c r="B21" s="56" t="s">
        <v>57</v>
      </c>
      <c r="C21" s="57"/>
    </row>
    <row r="22" spans="2:13" ht="15" customHeight="1">
      <c r="B22" s="58" t="s">
        <v>58</v>
      </c>
      <c r="C22" s="59"/>
    </row>
    <row r="23" spans="2:13" ht="15" customHeight="1">
      <c r="B23" s="62" t="s">
        <v>59</v>
      </c>
      <c r="C23" s="63"/>
    </row>
    <row r="24" spans="2:13" ht="15" customHeight="1">
      <c r="B24" s="64" t="s">
        <v>60</v>
      </c>
      <c r="C24" s="65"/>
    </row>
    <row r="25" spans="2:13" ht="15" customHeight="1">
      <c r="B25" s="66" t="s">
        <v>61</v>
      </c>
      <c r="C25" s="67"/>
    </row>
    <row r="26" spans="2:13" ht="15" customHeight="1">
      <c r="B26" s="68" t="s">
        <v>62</v>
      </c>
      <c r="C26" s="69"/>
    </row>
    <row r="27" spans="2:13" ht="15" customHeight="1">
      <c r="B27" s="70" t="s">
        <v>63</v>
      </c>
      <c r="C27" s="71"/>
    </row>
    <row r="28" spans="2:13" ht="15" customHeight="1">
      <c r="B28" s="60" t="s">
        <v>64</v>
      </c>
      <c r="C28" s="61"/>
    </row>
  </sheetData>
  <mergeCells count="11">
    <mergeCell ref="B28:C28"/>
    <mergeCell ref="B23:C23"/>
    <mergeCell ref="B24:C24"/>
    <mergeCell ref="B25:C25"/>
    <mergeCell ref="B26:C26"/>
    <mergeCell ref="B27:C27"/>
    <mergeCell ref="B3:M3"/>
    <mergeCell ref="B2:M2"/>
    <mergeCell ref="B20:C20"/>
    <mergeCell ref="B21:C21"/>
    <mergeCell ref="B22:C22"/>
  </mergeCells>
  <phoneticPr fontId="17" type="noConversion"/>
  <conditionalFormatting sqref="K5:M18">
    <cfRule type="expression" dxfId="0" priority="2">
      <formula>AND(K$4&gt;=$F5,K$4&lt;=$G5)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8" t="s">
        <v>65</v>
      </c>
      <c r="C2" s="39"/>
    </row>
    <row r="3" spans="2:3" ht="19.5" customHeight="1">
      <c r="B3" s="44" t="s">
        <v>66</v>
      </c>
      <c r="C3" s="30"/>
    </row>
    <row r="5" spans="2:3" ht="19.5" customHeight="1">
      <c r="B5" s="6" t="s">
        <v>67</v>
      </c>
      <c r="C5" s="6" t="s">
        <v>68</v>
      </c>
    </row>
    <row r="6" spans="2:3" ht="30" customHeight="1">
      <c r="B6" s="4" t="s">
        <v>69</v>
      </c>
      <c r="C6" s="2" t="s">
        <v>70</v>
      </c>
    </row>
    <row r="7" spans="2:3" ht="30" customHeight="1">
      <c r="B7" s="4" t="s">
        <v>71</v>
      </c>
      <c r="C7" s="2" t="s">
        <v>72</v>
      </c>
    </row>
    <row r="8" spans="2:3" ht="30" customHeight="1">
      <c r="B8" s="4" t="s">
        <v>73</v>
      </c>
      <c r="C8" s="2" t="s">
        <v>74</v>
      </c>
    </row>
    <row r="9" spans="2:3" ht="30" customHeight="1">
      <c r="B9" s="1" t="s">
        <v>75</v>
      </c>
      <c r="C9" s="2" t="s">
        <v>76</v>
      </c>
    </row>
    <row r="10" spans="2:3" ht="30" customHeight="1">
      <c r="B10" s="4" t="s">
        <v>77</v>
      </c>
      <c r="C10" s="2" t="s">
        <v>78</v>
      </c>
    </row>
    <row r="11" spans="2:3" ht="30" customHeight="1">
      <c r="B11" s="4" t="s">
        <v>79</v>
      </c>
      <c r="C11" s="2" t="s">
        <v>80</v>
      </c>
    </row>
    <row r="12" spans="2:3" ht="30" customHeight="1">
      <c r="B12" s="4" t="s">
        <v>81</v>
      </c>
      <c r="C12" s="2" t="s">
        <v>82</v>
      </c>
    </row>
    <row r="13" spans="2:3" ht="30" customHeight="1">
      <c r="B13" s="1" t="s">
        <v>83</v>
      </c>
      <c r="C13" s="2" t="s">
        <v>84</v>
      </c>
    </row>
    <row r="14" spans="2:3" ht="30" customHeight="1">
      <c r="B14" s="4" t="s">
        <v>85</v>
      </c>
      <c r="C14" s="2" t="s">
        <v>86</v>
      </c>
    </row>
    <row r="15" spans="2:3" ht="30" customHeight="1">
      <c r="B15" s="1" t="s">
        <v>87</v>
      </c>
      <c r="C15" s="2" t="s">
        <v>88</v>
      </c>
    </row>
    <row r="16" spans="2:3" ht="30" customHeight="1">
      <c r="B16" s="1" t="s">
        <v>89</v>
      </c>
      <c r="C16" s="2" t="s">
        <v>90</v>
      </c>
    </row>
    <row r="17" spans="2:3" ht="30" customHeight="1">
      <c r="B17" s="4" t="s">
        <v>91</v>
      </c>
      <c r="C17" s="2" t="s">
        <v>92</v>
      </c>
    </row>
    <row r="18" spans="2:3" ht="30" customHeight="1">
      <c r="B18" s="1" t="s">
        <v>93</v>
      </c>
      <c r="C18" s="2" t="s">
        <v>94</v>
      </c>
    </row>
    <row r="19" spans="2:3" ht="30" customHeight="1">
      <c r="B19" s="1" t="s">
        <v>95</v>
      </c>
      <c r="C19" s="2" t="s">
        <v>96</v>
      </c>
    </row>
    <row r="20" spans="2:3" ht="30" customHeight="1">
      <c r="B20" s="1" t="s">
        <v>97</v>
      </c>
      <c r="C20" s="2" t="s">
        <v>98</v>
      </c>
    </row>
    <row r="21" spans="2:3" ht="30" customHeight="1">
      <c r="B21" s="1" t="s">
        <v>99</v>
      </c>
      <c r="C21" s="3" t="s">
        <v>100</v>
      </c>
    </row>
    <row r="22" spans="2:3" ht="30" customHeight="1">
      <c r="B22" s="1" t="s">
        <v>101</v>
      </c>
      <c r="C22" s="2" t="s">
        <v>102</v>
      </c>
    </row>
    <row r="23" spans="2:3" ht="30" customHeight="1">
      <c r="B23" s="4" t="s">
        <v>103</v>
      </c>
      <c r="C23" s="2" t="s">
        <v>104</v>
      </c>
    </row>
    <row r="24" spans="2:3" ht="30" customHeight="1">
      <c r="B24" s="4" t="s">
        <v>105</v>
      </c>
      <c r="C24" s="2" t="s">
        <v>106</v>
      </c>
    </row>
    <row r="25" spans="2:3" ht="30" customHeight="1">
      <c r="B25" s="4" t="s">
        <v>107</v>
      </c>
      <c r="C25" s="2" t="s">
        <v>108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2026-07-14T06:57:56Z</dcterms:modified>
  <dc:language>en-US</dc:language>
</cp:coreProperties>
</file>